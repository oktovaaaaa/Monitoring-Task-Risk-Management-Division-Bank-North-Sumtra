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Oktovaaaaa\Documents\GitHub\web-project-sumut\backend\templates\"/>
    </mc:Choice>
  </mc:AlternateContent>
  <xr:revisionPtr revIDLastSave="0" documentId="8_{9445274E-3191-4296-972E-DD969693E7EC}" xr6:coauthVersionLast="47" xr6:coauthVersionMax="47" xr10:uidLastSave="{00000000-0000-0000-0000-000000000000}"/>
  <bookViews>
    <workbookView xWindow="-108" yWindow="-108" windowWidth="23256" windowHeight="13176" tabRatio="946" firstSheet="1" activeTab="6" xr2:uid="{9A6AA7E9-D35A-447D-8556-B1709F743D32}"/>
  </bookViews>
  <sheets>
    <sheet name="Perhitungan" sheetId="30" state="hidden" r:id="rId1"/>
    <sheet name="HASIL PENILAIAN" sheetId="52" r:id="rId2"/>
    <sheet name="Teknologi" sheetId="5" r:id="rId3"/>
    <sheet name="Produk Bank" sheetId="39" r:id="rId4"/>
    <sheet name="Karakter Organisasi" sheetId="40" r:id="rId5"/>
    <sheet name="Rekam Jejak" sheetId="41" r:id="rId6"/>
    <sheet name="Matriks Inheren" sheetId="44" r:id="rId7"/>
    <sheet name="All Inheren" sheetId="49" r:id="rId8"/>
    <sheet name="KPMR" sheetId="43" r:id="rId9"/>
    <sheet name="Kualitas Ketahanan" sheetId="42" r:id="rId10"/>
    <sheet name="Maturitas" sheetId="50" r:id="rId11"/>
    <sheet name="Matriks KPMR" sheetId="45" r:id="rId12"/>
    <sheet name="Matriks Ketahanan" sheetId="46" r:id="rId13"/>
    <sheet name="Matriks Maturitas" sheetId="47" r:id="rId14"/>
    <sheet name="RATING SIBER" sheetId="51" r:id="rId15"/>
  </sheets>
  <definedNames>
    <definedName name="_xlnm.Print_Area" localSheetId="7">'All Inheren'!$C$1:$F$17</definedName>
    <definedName name="_xlnm.Print_Area" localSheetId="1">'HASIL PENILAIAN'!$B$3:$H$37</definedName>
    <definedName name="_xlnm.Print_Area" localSheetId="4">'Karakter Organisasi'!$A$1:$I$10</definedName>
    <definedName name="_xlnm.Print_Area" localSheetId="8">KPMR!$A$1:$H$62</definedName>
    <definedName name="_xlnm.Print_Area" localSheetId="9">'Kualitas Ketahanan'!$A$1:$G$30</definedName>
    <definedName name="_xlnm.Print_Area" localSheetId="6">'Matriks Inheren'!$A$3:$B$8</definedName>
    <definedName name="_xlnm.Print_Area" localSheetId="12">'Matriks Ketahanan'!$A$3:$B$8</definedName>
    <definedName name="_xlnm.Print_Area" localSheetId="11">'Matriks KPMR'!$A$1:$B$9</definedName>
    <definedName name="_xlnm.Print_Area" localSheetId="13">'Matriks Maturitas'!$A$3:$B$8</definedName>
    <definedName name="_xlnm.Print_Area" localSheetId="10">Maturitas!$C$3:$F$10</definedName>
    <definedName name="_xlnm.Print_Area" localSheetId="3">'Produk Bank'!$A$1:$I$12</definedName>
    <definedName name="_xlnm.Print_Area" localSheetId="14">'RATING SIBER'!$C$3:$F$10</definedName>
    <definedName name="_xlnm.Print_Area" localSheetId="5">'Rekam Jejak'!$A$1:$I$9</definedName>
    <definedName name="_xlnm.Print_Area" localSheetId="2">Teknologi!$A$1:$I$17</definedName>
    <definedName name="_xlnm.Print_Titles" localSheetId="8">KPMR!$3:$3</definedName>
    <definedName name="_xlnm.Print_Titles" localSheetId="9">'Kualitas Ketahanan'!$3:$3</definedName>
    <definedName name="_xlnm.Print_Titles" localSheetId="11">'Matriks KPMR'!$3:$3</definedName>
    <definedName name="_xlnm.Print_Titles" localSheetId="3">'Produk Bank'!$3:$4</definedName>
    <definedName name="_xlnm.Print_Titles" localSheetId="2">Teknologi!$3:$4</definedName>
    <definedName name="valuevx">42.314159</definedName>
    <definedName name="vertex42_copyright" hidden="1">"© 2019 Vertex42 LLC"</definedName>
    <definedName name="vertex42_id" hidden="1">"swot-analysis.xlsx"</definedName>
    <definedName name="vertex42_title" hidden="1">"SWOT Analysis template"</definedName>
  </definedNames>
  <calcPr calcId="191029" fullCalcOnLoad="1"/>
  <extLst>
    <ext xmlns:xcalcf="http://schemas.microsoft.com/office/spreadsheetml/2018/calcfeatures" uri="{B58B0392-4F1F-4190-BB64-5DF3571DCE5F}">
      <xcalcf:calcFeatures>
        <xcalcf:feature name="microsoft.com:Single"/>
        <xcalcf:feature name="microsoft.com:CNMTM"/>
      </xcalcf:calcFeatures>
    </ext>
  </extLst>
</workbook>
</file>

<file path=xl/calcChain.xml><?xml version="1.0" encoding="utf-8"?>
<calcChain xmlns="http://schemas.openxmlformats.org/spreadsheetml/2006/main">
  <c r="E6" i="51" l="1"/>
  <c r="F6" i="51"/>
  <c r="E8" i="51"/>
  <c r="F8" i="51"/>
  <c r="E10" i="51"/>
  <c r="F10" i="51"/>
  <c r="E6" i="50"/>
  <c r="F6" i="50"/>
  <c r="E8" i="50"/>
  <c r="F8" i="50"/>
  <c r="E10" i="50"/>
  <c r="F10" i="50"/>
  <c r="D29" i="42"/>
  <c r="D30" i="42"/>
  <c r="E61" i="43"/>
  <c r="E62" i="43"/>
  <c r="E6" i="49"/>
  <c r="F6" i="49"/>
  <c r="E7" i="49"/>
  <c r="F7" i="49"/>
  <c r="E8" i="49"/>
  <c r="F8" i="49"/>
  <c r="E9" i="49"/>
  <c r="F9" i="49"/>
  <c r="E10" i="49"/>
  <c r="F10" i="49"/>
  <c r="H8" i="41"/>
  <c r="H9" i="41"/>
  <c r="H9" i="40"/>
  <c r="H10" i="40"/>
  <c r="H11" i="39"/>
  <c r="H12" i="39"/>
  <c r="H16" i="5"/>
  <c r="H17" i="5"/>
  <c r="D11" i="52"/>
  <c r="H11" i="52"/>
  <c r="D12" i="52"/>
  <c r="D13" i="52"/>
  <c r="H13" i="52"/>
  <c r="D14" i="52"/>
  <c r="D15" i="52"/>
  <c r="H15" i="52"/>
  <c r="E27" i="52"/>
  <c r="E1" i="30"/>
  <c r="B2" i="30"/>
  <c r="E2" i="30"/>
  <c r="E3" i="30"/>
  <c r="E4" i="30"/>
  <c r="E5" i="30"/>
  <c r="B19" i="30"/>
  <c r="C31" i="30"/>
  <c r="D31" i="30"/>
  <c r="E31" i="30"/>
  <c r="C32" i="30"/>
  <c r="D32" i="30"/>
  <c r="E32" i="30"/>
  <c r="C33" i="30"/>
  <c r="D33" i="30"/>
  <c r="E33" i="30"/>
  <c r="D36" i="30"/>
  <c r="D37" i="30"/>
  <c r="D38" i="30"/>
  <c r="D39" i="30"/>
  <c r="D40" i="30"/>
  <c r="D41" i="30"/>
  <c r="D44" i="30"/>
  <c r="D51" i="30"/>
  <c r="D54" i="30"/>
  <c r="D55" i="30"/>
</calcChain>
</file>

<file path=xl/sharedStrings.xml><?xml version="1.0" encoding="utf-8"?>
<sst xmlns="http://schemas.openxmlformats.org/spreadsheetml/2006/main" count="714" uniqueCount="517">
  <si>
    <t>KYD</t>
  </si>
  <si>
    <t>Rencana</t>
  </si>
  <si>
    <t>DPK</t>
  </si>
  <si>
    <t>Giro</t>
  </si>
  <si>
    <t>Tabungan</t>
  </si>
  <si>
    <t>Deposito</t>
  </si>
  <si>
    <t>CKPN</t>
  </si>
  <si>
    <t>Adanya Fraud</t>
  </si>
  <si>
    <t>Kekurangan Personil</t>
  </si>
  <si>
    <t>Surat Pengaduan Nasabah</t>
  </si>
  <si>
    <t>Frekuensi Temuan</t>
  </si>
  <si>
    <t>Sekarang</t>
  </si>
  <si>
    <t>Sebelumnya</t>
  </si>
  <si>
    <t>Tindak Lanjut Temuan</t>
  </si>
  <si>
    <t>Kredit sandi 1</t>
  </si>
  <si>
    <t>Realisasi</t>
  </si>
  <si>
    <t>Kredit sandi 2</t>
  </si>
  <si>
    <t>Menunggak</t>
  </si>
  <si>
    <t>Kredit sandi 3</t>
  </si>
  <si>
    <t>Kredit sandi 4</t>
  </si>
  <si>
    <t>Kredit sandi 5</t>
  </si>
  <si>
    <t>Total Kredit</t>
  </si>
  <si>
    <t>Total Aset</t>
  </si>
  <si>
    <t>Total Aktiva Produktif</t>
  </si>
  <si>
    <t>Laba sblm pajak</t>
  </si>
  <si>
    <t>Total</t>
  </si>
  <si>
    <t>Disetahunkan</t>
  </si>
  <si>
    <t>Rata-rata</t>
  </si>
  <si>
    <t>Pendapatan Bunga Bersih Disetahunkan</t>
  </si>
  <si>
    <t>Pendapatan Bunga Bersih (Pendapatan Bunga (1) - Biaya Bunga (2))</t>
  </si>
  <si>
    <t>1.Pendapatan Bunga (Bunga Yang Diperoleh+Propisi dan Komisi Kredit)</t>
  </si>
  <si>
    <t>2.Biaya Bunga (Bunga Yang Dibyr+Hadiah+Propisi dan Komisi Yang Dibyr Utk Mendptkan Dana)</t>
  </si>
  <si>
    <t>4.Pendapatan Bunga Bersih (Pendapatan Bunga - Biaya Bunga)</t>
  </si>
  <si>
    <t>5.Pendapatan Lain (Total Pendapatan-Bunga Yang Diperoleh-Propisi &amp; Komisi Kredit)</t>
  </si>
  <si>
    <t>Bunga Yang Diperoleh</t>
  </si>
  <si>
    <t>Provisi &amp; Komisi Kredit</t>
  </si>
  <si>
    <t>Pendapatan Operasional</t>
  </si>
  <si>
    <t>Pendapatan Non Operasional</t>
  </si>
  <si>
    <t>Total Pendapatan</t>
  </si>
  <si>
    <t>Bunga Yang Dibayar</t>
  </si>
  <si>
    <t>Hadiah</t>
  </si>
  <si>
    <t>Prov.&amp; Kom.yg dibayar utk dana</t>
  </si>
  <si>
    <t>Penyisihan &amp; Penurunan Aktiva Produktif</t>
  </si>
  <si>
    <t>Beban Operasional</t>
  </si>
  <si>
    <t>Beban Non Operasional</t>
  </si>
  <si>
    <t>Total Biaya</t>
  </si>
  <si>
    <t xml:space="preserve">Laba/(Rugi) </t>
  </si>
  <si>
    <t>Laba/(Rugi) setahun</t>
  </si>
  <si>
    <t>A. Kertas Kerja Penilaian Risiko Inheren terkait Keamanan Siber - Teknologi</t>
  </si>
  <si>
    <t xml:space="preserve">1. Teknologi </t>
  </si>
  <si>
    <t>Level Risiko</t>
  </si>
  <si>
    <t>Hasil Penilaian</t>
  </si>
  <si>
    <t>Penjelasan</t>
  </si>
  <si>
    <t>Low (1)</t>
  </si>
  <si>
    <t>Low to Moderate (2)</t>
  </si>
  <si>
    <t>Moderate (3)</t>
  </si>
  <si>
    <t>Moderate to High (4)</t>
  </si>
  <si>
    <t>High (5)</t>
  </si>
  <si>
    <t>1.1.</t>
  </si>
  <si>
    <t>Interkoneksi ke internet publik</t>
  </si>
  <si>
    <t>Kurang atau sama dengan 2 koneksi</t>
  </si>
  <si>
    <t xml:space="preserve">4 koneksi </t>
  </si>
  <si>
    <t>6 koneksi</t>
  </si>
  <si>
    <t>8 koneksi</t>
  </si>
  <si>
    <t>Lebih atau sama dengan 10 koneksi</t>
  </si>
  <si>
    <t>1.2.</t>
  </si>
  <si>
    <t>Interkoneksi ke pihak ketiga (third party)</t>
  </si>
  <si>
    <t>Lebih dari 80% total koneksi ke pihak ketiga menggunakan Application Programming Interface (API)</t>
  </si>
  <si>
    <t>Hingga 50% dari total koneksi ke pihak ketiga menggunakan API</t>
  </si>
  <si>
    <t>Lebih dari 80% total koneksi ke pihak ketiga menggunakan host to host</t>
  </si>
  <si>
    <t>Hingga 50% total koneksi ke pihak ketiga menggunakan host to host</t>
  </si>
  <si>
    <t>Lebih dari 50% total koneksi ke pihak ketiga menggunakan direct connection</t>
  </si>
  <si>
    <t>1.3.</t>
  </si>
  <si>
    <t>Akses ke aset TI Bank</t>
  </si>
  <si>
    <t>Koneksi kabel
hanya untuk
pegawai</t>
  </si>
  <si>
    <t>Koneksi kabel
untuk pegawai
saja dan Wi-Fi
untuk pihak
ketiga
terotorisasi</t>
  </si>
  <si>
    <t>Seluruh
koneksi untuk
pegawai dan
pihak ketiga
terotorisasi</t>
  </si>
  <si>
    <t>Seluruh
koneksi untuk
pegawai dan
pihak ketiga
terotorisasi,
namun Wi-Fi
untuk publik</t>
  </si>
  <si>
    <t>Seluruh
koneksi untuk
semua pihak</t>
  </si>
  <si>
    <t>1.4.</t>
  </si>
  <si>
    <t>Jaringan intranet dari jaringan kantor Bank</t>
  </si>
  <si>
    <t>Bank memiliki
jaringan kantor
Bank yang tersebar kurang
dari 100 lokasi</t>
  </si>
  <si>
    <t>Bank memiliki
jaringan kantor
Bank yang
tersebar di 100 hingga 300
lokasi</t>
  </si>
  <si>
    <t>Bank memiliki
jaringan kantor
Bank yang
tersebar di lebih dari 300
hingga 500
lokasi</t>
  </si>
  <si>
    <t>Bank memiliki
jaringan kantor
Bank yang
tersebar di lebih dari 500
hingga 700
lokasi</t>
  </si>
  <si>
    <t>Bank memiliki
jaringan
kantor Bank
yang tersebar di lebih dari
700 lokasi</t>
  </si>
  <si>
    <t>1.5.</t>
  </si>
  <si>
    <t>Penggunaan pihak penyedia jasa TI dalam penyelenggaraan pusat data</t>
  </si>
  <si>
    <t>Tidak ada
penggunaan jasa
pihak penyedia
jasa TI dalam
penyelenggaraan
pusat data</t>
  </si>
  <si>
    <t>Penggunaan jasa
pihak penyedia
jasa TI selain
cloud service
provider dalam
penyelenggaraan
pusat data</t>
  </si>
  <si>
    <t>Penggunaan
jasa cloud
service provider
berupa SaaS</t>
  </si>
  <si>
    <t>Penggunaan
jasa cloud
service provider
berupa PaaS</t>
  </si>
  <si>
    <t>Penggunaan
jasa cloud
service
provider
berupa IaaS</t>
  </si>
  <si>
    <t>1.6.</t>
  </si>
  <si>
    <t>Pengelolaan perangkat lunak yang digunakan untuk mendukung kegiatan operasional Bank (termasuk kebutuhan back-office dan TI)</t>
  </si>
  <si>
    <t>Seluruh perangkat lunak yang digunakan untuk mendukung kegiatan operasional Bank (termasuk kebutuhan back office &amp; TI) dikelola (dikembangkan dan diselenggarakan) oleh tim TI Bank</t>
  </si>
  <si>
    <t>Lebih dari 70% perangkat lunak yang digunakan untuk mendukung kegiatan operasional Bank (termasuk kebutuhan back office &amp; TI) dikelola (dikembangkan dan diselenggarakan) oleh tim TI Bank</t>
  </si>
  <si>
    <t>Lebih dari 50% perangkat lunak yang digunakan untuk mendukung kegiatan operasional Bank (termasuk kebutuhan back-office &amp; TI) dikelola (dikembangkan dan diselenggarakan) oleh tim TI Bank</t>
  </si>
  <si>
    <t>Lebih dari 30% perangkat lunak yang digunakan untuk mendukung kegiatan operasional Bank (termasuk kebutuhan back office &amp; TI) dikelola (dikembangkan dan diselenggarakan) oleh tim TI Bank</t>
  </si>
  <si>
    <t>Hingga 30% perangkat lunak yang digunakan untuk mendukung kegiatan operasional Bank (termasuk kebutuhan back-office dan TI) dikelola (dikembangkan dan diselenggarakan) oleh tim TI Bank</t>
  </si>
  <si>
    <t>1.7.</t>
  </si>
  <si>
    <t>Penggunaan perangkat keras dan/atau perangkat lunak yang sudah masuk/mendekati masa EOL</t>
  </si>
  <si>
    <t>Tidak ada perangkat keras dan/atau perangkat lunak yang melebihi masa EOL atau mendekati masa EOL (2 tahun ke depan akan memasuki masa EOL)</t>
  </si>
  <si>
    <t>Hingga 30% perangkat keras dan/atau perangkat lunak melebihi masa EOL atau mendekati masa EOL (2 tahun ke depan akan memasuki masa EOL)</t>
  </si>
  <si>
    <t>Hingga 50% perangkat keras dan/atau perangkat lunak melebihi masa EOL atau mendekati masa EOL (2 tahun ke depan akan memasuki masa EOL)</t>
  </si>
  <si>
    <t>Hingga 70% perangkat keras dan/atau perangkat lunak melebihi masa EOL atau mendekati masa EOL (2 tahun ke depan akan memasuki masa EOL)</t>
  </si>
  <si>
    <t>Lebih dari 70% perangkat keras dan/atau perangkat lunak melebihi masa EOL atau mendekati masa EOL (2 tahun ke depan akan memasuki masa EOL)</t>
  </si>
  <si>
    <t>1.8.</t>
  </si>
  <si>
    <t>Jumlah pegawai yang memiliki akses koneksi perangkat pribadi ke jaringan Bank (Bring Your Own Device)</t>
  </si>
  <si>
    <t>Tidak terdapat akses koneksi perangkat pribadi ke jaringan Bank</t>
  </si>
  <si>
    <t>Akses koneksi perangkat pribadi ke jaringan Bank dimiliki oleh kurang dari 5% pegawai</t>
  </si>
  <si>
    <t>Akses koneksi perangkat pribadi ke jaringan Bank dimiliki oleh kurang dari 10% pegawai</t>
  </si>
  <si>
    <t>Akses koneksi perangkat pribadi ke jaringan Bank dimiliki oleh kurang dari 25% pegawai</t>
  </si>
  <si>
    <t>Akses koneksi perangkat pribadi ke jaringan Bank dimiliki oleh 25% pegawai atau lebih</t>
  </si>
  <si>
    <t>1.9.</t>
  </si>
  <si>
    <t>Perangkat lunak yang dapat diakses menggunakan perangkat pribadi ke jaringan Bank</t>
  </si>
  <si>
    <t>Tidak terdapat perangkat lunak yang dapat diakses menggunakan perangkat pribadi</t>
  </si>
  <si>
    <t>Perangkat pribadi yang terhubung ke jaringan Bank hanya dapat mengakses surat elektronik</t>
  </si>
  <si>
    <t>Perangkat pribadi yang terhubung ke jaringan Bank hanya dapat mengakses surat elektronik dan aplikasi penunjang (tidak bersifat kritikal)</t>
  </si>
  <si>
    <t>Perangkat pribadi yang terhubung ke jaringan Bank dapat mengakses aplikasi kritikal</t>
  </si>
  <si>
    <t>Perangkat pribadi yang terhubung ke jaringan Bank dapat mengakses seluruh sistem/aplikasi (termasuk core banking system)</t>
  </si>
  <si>
    <t>1.10.</t>
  </si>
  <si>
    <t>Pihak ketiga yang memiliki akses terhadap sistem internal Bank dan/atau informasi sensitif</t>
  </si>
  <si>
    <t>Tidak terdapat pihak ketiga atau individu dari pihak ketiga yang memiliki akses terhadap sistem internal Bank dan/atau informasi sensitif</t>
  </si>
  <si>
    <t>Jumlah minimal (1 – 3 entitas atau kurang dari 10 individu) memiliki akses terhadap sistem internal Bank dan/atau informasi sensitif</t>
  </si>
  <si>
    <t>Jumlah sedang (4 – 6 entitas atau kurang dari 20 individu) memiliki akses terhadap sistem internal Bank dan/atau informasi sensitif</t>
  </si>
  <si>
    <t>Jumlah signifikan (7 – 10 entitas atau kurang dari 30 individu) memiliki akses terhadap sistem internal Bank dan/atau informasi sensitif</t>
  </si>
  <si>
    <t>Jumlah substansial (Lebih dari 10 entitas atau 30 individu atau lebih) memiliki akses terhadap sistem internal Bank dan/atau informasi sensitif</t>
  </si>
  <si>
    <t>Avg</t>
  </si>
  <si>
    <t>Peringkat</t>
  </si>
  <si>
    <t>B. Kertas Kerja Penilaian Risiko Inheren terkait Keamanan Siber - Produk Bank</t>
  </si>
  <si>
    <t>2. Produk Bank</t>
  </si>
  <si>
    <t>2.1.</t>
  </si>
  <si>
    <t>Penggunaan saluran daring dan mobile dalam memberikan layanan</t>
  </si>
  <si>
    <t>Tidak ada aplikasi (baik back office maupun untuk nasabah) yang menggunakan saluran daring dan mobile</t>
  </si>
  <si>
    <t>Saluran daring dan mobile digunakan untuk penyampaian informasi umum Bank kepada masyarakat (antara lain notifikasi/berita, lokasi jaringan kantor, dan produk Bank yang tersedia)</t>
  </si>
  <si>
    <t>Saluran daring dan mobile digunakan untuk pelayanan transaksi perbankan (produk Bank) bagi nasabah badan usaha secara domestik</t>
  </si>
  <si>
    <t>Saluran daring dan mobile digunakan untuk pelayanan transaksi perbankan (produk Bank) bagi nasabah ritel secara domestik</t>
  </si>
  <si>
    <t>Saluran daring dan mobile digunakan untuk: 
1. kebutuhan produk bagi nasabah badan usaha dan ritel termasuk remitansi luar negeri dan pertukaran mata uang; dan/atau
2. interkoneksi dengan ekosistem ekonomi digital (contoh: super app)</t>
  </si>
  <si>
    <t>2.2.</t>
  </si>
  <si>
    <t>Mekanisme pengelolaan ATM</t>
  </si>
  <si>
    <t>Bank tidak memiliki layanan ATM</t>
  </si>
  <si>
    <t>Layanan ATM tersedia, namun Bank tidak memiliki mesin ATM sendiri</t>
  </si>
  <si>
    <t>Layanan ATM tersedia, mesin ATM dan proses pengisian uang dikelola sepenuhnya oleh Bank</t>
  </si>
  <si>
    <t>Layanan ATM tersedia, mesin ATM dan proses pengisian uang dikelola dengan kombinasi antara Bank dan pihak ketiga</t>
  </si>
  <si>
    <t>Layanan ATM tersedia, mesin ATM dan pengisian uang dikelola sepenuhnya oleh pihak ketiga</t>
  </si>
  <si>
    <t>2.3.</t>
  </si>
  <si>
    <t>Produk Bank berupa APMK</t>
  </si>
  <si>
    <t>Bank tidak menerbitkan APMK</t>
  </si>
  <si>
    <t>Bank hanya menerbitkan APMK berupa kartu debit untuk mendukung layanan Bank tersebut</t>
  </si>
  <si>
    <t>Bank menerbitkan APMK (kartu debit dan APMK lainnya) hanya untuk mendukung layanan Bank tersebut</t>
  </si>
  <si>
    <t>Bank menerbitkan APMK untuk 1 hingga 5 bank lain/institusi keuangan lain</t>
  </si>
  <si>
    <t>Bank menerbitkan APMK untuk lebih dari 5 bank lain/institusi keuangan lain</t>
  </si>
  <si>
    <t>2.4.</t>
  </si>
  <si>
    <t>Jenis produk Bank berbasis TI</t>
  </si>
  <si>
    <t>Bank tidak memiliki produk Bank berbasis TI</t>
  </si>
  <si>
    <t>Bank memiliki produk Bank berbasis TI untuk penghimpunan dan/atau penyaluran dana</t>
  </si>
  <si>
    <t>Bank memiliki produk Bank berbasis TI untuk penghimpunan dana, penyaluran dana, dan/atau treasury</t>
  </si>
  <si>
    <t>Bank memiliki produk Bank berbasis TI untuk penghimpunan dana, penyaluran dana, treasury, dan/atau aktivitas sistem pembayaran dan investasi pasar modal untuk kebutuhan domestik</t>
  </si>
  <si>
    <t>Bank memiliki produk Bank berbasis TI untuk penghimpunan dana, penyaluran dana, treasury, dan/atau aktivitas sistem pembayaran termasuk jual beli mata uang dan investasi pasar modal untuk kebutuhan internasional</t>
  </si>
  <si>
    <t>2.5.</t>
  </si>
  <si>
    <t>Bank sebagai penyedia jasa TI</t>
  </si>
  <si>
    <t>Bank tidak menjadi penyedia jasa TI untuk lembaga jasa keuangan lain</t>
  </si>
  <si>
    <t>Bank menjadi penyedia jasa TI untuk 1 atau 2 lembaga jasa keuangan lain</t>
  </si>
  <si>
    <t>Bank menjadi penyedia jasa TI untuk 3 lembaga jasa keuangan lain</t>
  </si>
  <si>
    <t>Bank menjadi penyedia jasa TI untuk 4 atau 5 lembaga jasa keuangan lain</t>
  </si>
  <si>
    <t>Bank menjadi penyedia jasa TI untuk lebih dari 5 lembaga jasa keuangan lain</t>
  </si>
  <si>
    <t>C. Kertas Kerja Penilaian Risiko Inheren terkait Keamanan Siber - Karakter Organisasi</t>
  </si>
  <si>
    <t>3. Karakteristik Organisasi</t>
  </si>
  <si>
    <t>3.1.</t>
  </si>
  <si>
    <t>Pergantian (turnover) pada SDM yang menangani TI/ketahanan dan keamanan siber</t>
  </si>
  <si>
    <t>Persentase pergantian SDM yang menangani TI/ketahanan dan keamanan siber &lt;5% dalam 1 tahun terakhir</t>
  </si>
  <si>
    <t>Persentase pergantian SDM yang menangani TI/ketahanan dan keamanan siber &lt;10% dalam 1 tahun terakhir</t>
  </si>
  <si>
    <t>Persentase pergantian SDM yang menangani TI/ketahanan dan keamanan siber &lt;15% dalam 1 tahun terakhir</t>
  </si>
  <si>
    <t>Persentase pergantian SDM yang menangani TI/ketahanan dan keamanan siber &lt; 20% dalam 1 tahun terakhir</t>
  </si>
  <si>
    <t>Persentase pergantian SDM yang menangani TI/ketahanan dan keamanan siber ≥ 20% dalam 1 tahun terakhir</t>
  </si>
  <si>
    <t>3.2.</t>
  </si>
  <si>
    <t>Perubahan di lingkungan TI</t>
  </si>
  <si>
    <t>Kurang dari 3 implementasi sistem kritikal dalam 1 tahun terakhir</t>
  </si>
  <si>
    <t>3-5 implementasi sistem kritikal dalam 1 tahun terakhir</t>
  </si>
  <si>
    <t>6-8 implementasi sistem kritikal dalam 1 tahun terakhir</t>
  </si>
  <si>
    <t>9-11 implementasi sistem kritikal dalam 1 tahun terakhir</t>
  </si>
  <si>
    <t>&gt;11 implementasi sistem kritikal dalam 1 tahun terakhir</t>
  </si>
  <si>
    <t>3.3.</t>
  </si>
  <si>
    <t>Pengelolaan privilege access (administrator dan selevel administrator) di seluruh perangkat (host, jaringan,database, aplikasi, dan cloud)</t>
  </si>
  <si>
    <t>Seluruh privilege access untuk seluruh tipe perangkat dikelola oleh unit TI</t>
  </si>
  <si>
    <t>Privilege access untuk 1 atau 2 tipe perangkat dikelola oleh pihak selain unit TI</t>
  </si>
  <si>
    <t>Privilege access untuk 3 tipe perangkat dikelola oleh pihak selain unit TI</t>
  </si>
  <si>
    <t>Privelege access untuk 4 tipe perangkat dikelola oleh pihak selain unit TI</t>
  </si>
  <si>
    <t>Privelege access untuk lebih dari 4 tipe perangkat dikelola oleh pihak selain unit TI</t>
  </si>
  <si>
    <t>D. Kertas Kerja Penilaian Risiko Inheren terkait Keamanan Siber - Rekam Jejak</t>
  </si>
  <si>
    <t>4. Rekam Jejak Insiden Siber</t>
  </si>
  <si>
    <t>4.1.</t>
  </si>
  <si>
    <t>Persentase insiden siber yang berdampak signifikan dalam 12 (dua belas) bulan terakhir</t>
  </si>
  <si>
    <t>Tidak ada insiden siber yang berdampak signifikan</t>
  </si>
  <si>
    <t>Hingga 30% dari total insiden siber berdampak signifikan</t>
  </si>
  <si>
    <t>Hingga 50% dari total insiden siber berdampak signifikan</t>
  </si>
  <si>
    <t>Hingga 70% dari total insiden siber berdampak signifikan</t>
  </si>
  <si>
    <t>Lebih dari 70% dari total insiden siber berdampak signifikan</t>
  </si>
  <si>
    <t>4.2.</t>
  </si>
  <si>
    <t>Cakupan dampak insiden siber dalam 12 (dua belas) bulan terakhir</t>
  </si>
  <si>
    <t>Tidak terdapat dampak (tidak terdapat insiden siber)</t>
  </si>
  <si>
    <t>Insiden siber hanya berdampak pada internal Bank</t>
  </si>
  <si>
    <t>Insiden siber berdampak pada pihak ketiga selain nasabah</t>
  </si>
  <si>
    <t>Insiden siber berdampak pada ketersediaan produk Bank</t>
  </si>
  <si>
    <t>Insiden siber berdampak pada kerugian nasabah (contoh : kebocoran data pribadi nasabah)</t>
  </si>
  <si>
    <t>Peringkat Risiko Inheren Kemanan Siber</t>
  </si>
  <si>
    <t>Inherent Risk Rating</t>
  </si>
  <si>
    <t>Nilai Rating</t>
  </si>
  <si>
    <t xml:space="preserve">Kualifikasi Rating </t>
  </si>
  <si>
    <t>SKALA RATING INHERENT</t>
  </si>
  <si>
    <t>Teknologi</t>
  </si>
  <si>
    <t>- LOW</t>
  </si>
  <si>
    <r>
      <t xml:space="preserve">1 </t>
    </r>
    <r>
      <rPr>
        <i/>
        <u/>
        <sz val="10"/>
        <rFont val="Arial"/>
        <family val="2"/>
      </rPr>
      <t>&lt;</t>
    </r>
    <r>
      <rPr>
        <i/>
        <sz val="10"/>
        <rFont val="Arial"/>
        <family val="2"/>
      </rPr>
      <t xml:space="preserve"> nilai &lt; 2</t>
    </r>
  </si>
  <si>
    <t>Produk Bank</t>
  </si>
  <si>
    <t>- LOW TO MODERATE</t>
  </si>
  <si>
    <r>
      <t xml:space="preserve">2 </t>
    </r>
    <r>
      <rPr>
        <i/>
        <u/>
        <sz val="10"/>
        <rFont val="Arial"/>
        <family val="2"/>
      </rPr>
      <t>&lt;</t>
    </r>
    <r>
      <rPr>
        <i/>
        <sz val="10"/>
        <rFont val="Arial"/>
        <family val="2"/>
      </rPr>
      <t xml:space="preserve"> nilai &lt; 3</t>
    </r>
  </si>
  <si>
    <t>Karakteristik Organisasi</t>
  </si>
  <si>
    <t>- MODERATE</t>
  </si>
  <si>
    <r>
      <t xml:space="preserve">3 </t>
    </r>
    <r>
      <rPr>
        <i/>
        <u/>
        <sz val="10"/>
        <rFont val="Arial"/>
        <family val="2"/>
      </rPr>
      <t>&lt;</t>
    </r>
    <r>
      <rPr>
        <i/>
        <sz val="10"/>
        <rFont val="Arial"/>
        <family val="2"/>
      </rPr>
      <t xml:space="preserve"> nilai &lt; 4</t>
    </r>
  </si>
  <si>
    <t>Rekam Jejak Insiden Siber</t>
  </si>
  <si>
    <t>- MODERATE TO HIGH</t>
  </si>
  <si>
    <r>
      <t xml:space="preserve">4 </t>
    </r>
    <r>
      <rPr>
        <i/>
        <u/>
        <sz val="10"/>
        <rFont val="Arial"/>
        <family val="2"/>
      </rPr>
      <t>&lt;</t>
    </r>
    <r>
      <rPr>
        <i/>
        <sz val="10"/>
        <rFont val="Arial"/>
        <family val="2"/>
      </rPr>
      <t xml:space="preserve"> nilai &lt; 5</t>
    </r>
  </si>
  <si>
    <t>- HIGH</t>
  </si>
  <si>
    <r>
      <t xml:space="preserve">nilai </t>
    </r>
    <r>
      <rPr>
        <i/>
        <u/>
        <sz val="10"/>
        <rFont val="Arial"/>
        <family val="2"/>
      </rPr>
      <t>&gt;</t>
    </r>
    <r>
      <rPr>
        <i/>
        <sz val="10"/>
        <rFont val="Arial"/>
        <family val="2"/>
      </rPr>
      <t xml:space="preserve"> 5</t>
    </r>
  </si>
  <si>
    <t>E. Kertas Kerja Penilaian Kualitas Penerapan Manajemen Risiko terkait Keamanan Siber</t>
  </si>
  <si>
    <t>No</t>
  </si>
  <si>
    <t>Domain</t>
  </si>
  <si>
    <t>Sub Domain</t>
  </si>
  <si>
    <t>Kontrol</t>
  </si>
  <si>
    <t>Penerapan
Kontrol</t>
  </si>
  <si>
    <t>Referensi 
Dokumen</t>
  </si>
  <si>
    <t>Departemen/Unit/Jabatan yang Bertanggung Jawab</t>
  </si>
  <si>
    <t>Tata Kelola Risiko terkait Keamanan Siber</t>
  </si>
  <si>
    <t>1.1. Kecukupan Pengawasan Aktif oleh Direksi dan Dewan Komisaris</t>
  </si>
  <si>
    <t>1.1.a. Bank menetapkan wewenang dan tanggung jawab Direksi terkait dengan penerapan manajemen risiko terkait keamanan siber.</t>
  </si>
  <si>
    <t>1.1.b. Bank menetapkan wewenang dan tanggung jawab Dewan Komisaris terkait dengan penerapan manajemen risiko terkait keamanan siber.</t>
  </si>
  <si>
    <t>1.2. Perumusan Tingkat Risiko yang Akan Diambil (Risk Appetite) dan Toleransi Risiko (Risk Tolerance) terkait Keamanan Siber</t>
  </si>
  <si>
    <t>1.2.a. Direksi bertanggung jawab untuk menetapkan tingkat risiko yang diambil (risk appetite) terkait keamanan siber Bank.</t>
  </si>
  <si>
    <t>1.2.b. Direksi bertanggung jawab untuk menetapkan toleransi risiko (risk tolerance) terkait keamanan siber Bank.</t>
  </si>
  <si>
    <t>1.3. Budaya dan Kesadaran Risiko terkait Keamanan Siber</t>
  </si>
  <si>
    <t>1.3.a. Direksi mengembangkan budaya mengenai tanggung jawab terkait keamanan siber bagi pegawai di semua level.</t>
  </si>
  <si>
    <t>1.3.b. Direksi membangun dan memelihara kesadaran dan komitmen yang kuat terhadap keamanan siber Bank.</t>
  </si>
  <si>
    <t>1.3.c. Bank memastikan efektivitas pemahaman dan penerapan kebijakan keamanan siber bagi seluruh pegawai dan pemangku kepentingan terkait.</t>
  </si>
  <si>
    <t>Kerangka Manajemen Risiko terkait Keamanan Siber</t>
  </si>
  <si>
    <t>2.1. Strategi Manajemen Risiko terkait Keamanan Siber</t>
  </si>
  <si>
    <t>2.1.a. Bank merumuskan strategi manajemen risiko terkait keamanan siber yang sepadan dengan kerentanan dan tingkat eksposur Bank terhadap ancaman siber serta sejalan dengan tingkat risiko yang akan diambil (risk appetite) dan toleransi risiko (risk tolerance) terkait keamanan siber serta strategi bisnis secara keseluruhan.</t>
  </si>
  <si>
    <t>2.1.b. Bank memastikan kejelasan seluruh peran dan tanggung jawab terkait keamanan siber dalam strategi manajemen risiko terkait keamanan siber.</t>
  </si>
  <si>
    <t>2.1.c. Direksi mengomunikasikan strategi manajemen risiko terkait keamanan siber secara efektif kepada seluruh satuan kerja dan pegawai agar dipahami secara jelas.</t>
  </si>
  <si>
    <t>2.1.d. Direksi melakukan kaji ulang strategi manajemen risiko terkait keamanan siber secara berkala untuk menentukan perlu atau tidaknya dilakukan perubahan terhadap strategi manajemen risiko tersebut.</t>
  </si>
  <si>
    <t>2.2. Kecukupan Perangkat Organisasi terkait Keamanan Siber</t>
  </si>
  <si>
    <t>2.2.a. Direksi memastikan struktur organisasi Bank telah disertai dengan kejelasan tugas dan tanggung jawab mengenai penerapan manajemen risiko terkait keamanan siber pada seluruh satuan kerja yang disesuaikan dengan tujuan dan kebijakan usaha serta ukuran dan kompleksitas kegiatan usaha Bank</t>
  </si>
  <si>
    <t>2.2.b. Struktur organisasi dirancang untuk memastikan bahwa satuan kerja yang melakukan fungsi pengendalian intern terhadap manajemen risiko terkait keamanan siber memiliki independensi terhadap satuan kerja bisnis.</t>
  </si>
  <si>
    <t>2.2.c. Bank memastikan satuan kerja manajemen risiko memiliki fungsi yang menangani penerapan manajemen risiko terkait keamanan siber</t>
  </si>
  <si>
    <t>2.2.d. Bank memiliki unit atau fungsi yang bertugas menangani ketahanan dan keamanan siber.</t>
  </si>
  <si>
    <t>2.3. Kecukupan Kebijakan, Prosedur, dan Penetapan Limit Risiko terkait Keamanan Siber</t>
  </si>
  <si>
    <t>2.3.a. Direksi menetapkan kebijakan dan prosedur yang dituangkan secara tertulis dalam menerapkan manajemen risiko terkait keamanan siber dan ketahanan siber.</t>
  </si>
  <si>
    <t>2.3.b. Bank mendesain dan mengimplementasikan kebijakan dan prosedur dengan memperhatikan karakteristik dan kompleksitas kegiatan usaha, tingkat risiko yang akan diambil (risk appetite) dan toleransi risiko (risk tolerance), profil risiko, serta peraturan yang ditetapkan otoritas terkait dengan keamanan siber.</t>
  </si>
  <si>
    <t>2.3.c. Bank melakukan internalisasi kebijakan manajemen risiko terkait keamanan siber, termasuk strategi dan tujuan manajemen risiko terkait keamanan siber, ke dalam proses bisnis pada seluruh lini bisnis dan aktivitas pendukung, termasuk kebijakan yang bersifat spesifik sesuai dengan kebutuhan lini bisnis dan aktivitas pendukung Bank.</t>
  </si>
  <si>
    <t>2.3.d. Bank menyusun kebijakan manajemen risiko terkait keamanan siber yang memadai.</t>
  </si>
  <si>
    <t>2.3.e. Bank memiliki prosedur yang merupakan turunan dari kebijakan manajemen risiko terkait keamanan siber, yang dapat berupa pengendalian yang bersifat umum pada seluruh lini bisnis dan aktivitas pendukung Bank dan kontrol yang bersifat spesifik pada masing-masing lini bisnis dan aktivitas pendukung Bank.</t>
  </si>
  <si>
    <t>2.3.f. Bank memiliki kebijakan dan prosedur keamanan siber yang digunakan untuk mengatur pelindungan aset TI.</t>
  </si>
  <si>
    <t>2.3.g. Bank memiliki kebijakan dan prosedur manajemen risiko terkait keamanan siber untuk pihak ketiga dan subkontraktor dari pihak ketiga yang mengatur tentang pengelolaan data/informasi digital milik Bank termasuk data nasabah yang dimiliki Bank) oleh pihak ketiga dan subkontraktor dari pihak ketiga.</t>
  </si>
  <si>
    <t>2.3.h. Bank menerapkan manajemen risiko terkait keamanan siber untuk pihak ketiga dan subkontraktor dari pihak ketiga.</t>
  </si>
  <si>
    <t>2.3.i. Bank menetapkan standar minimum kendali keamanan siber bagi pihak ketiga dan subkontraktor dari pihak ketiga, yaitu: 
1) ketentuan kerahasiaan di kontrak kerja sama;
2) ketersediaan tata kelola pengamanan siber di pihak ketiga dan subkontraktor dari pihak ketiga (kebijakan, prosedur, ketentuan, dan lainnya); dan
3) pengelolaan risiko terkait keamanan siber termasuk manajemen insiden siber di pihak ketiga dan subkontraktor dari pihak ketiga</t>
  </si>
  <si>
    <t>2.3.j. Bank memiliki limit risiko terkait keamanan siber yang sesuai dengan tingkat risiko yang akan diambil (risk appetite), toleransi risiko (risk tolerance), dan strategi Bank terkait keamanan siber secara keseluruhan serta dengan memperhatikan kemampuan Bank untuk dapat menyerap eksposur risiko terkait keamanan siber atau kerugian yang timbul, pengalaman kerugian di masa lalu, kemampuan SDM, dan kepatuhan terhadap ketentuan eksternal yang berlaku.</t>
  </si>
  <si>
    <t>2.3.k. Kebijakan, prosedur, dan limit dalam penerapan manajemen risiko terkait keamanan siber harus didokumentasikan secara memadai dan dikomunikasikan kepada seluruh pegawai.</t>
  </si>
  <si>
    <t>2.3.l. Direksi melakukan kaji ulang atas kebijakan, prosedur, dan limit dalam penerapan manajemen risiko terkait keamanan siber secara berkala untuk menyesuaikan dengan kondisi terkini.</t>
  </si>
  <si>
    <t>Proses Manajemen Risiko, Kecukupan SDM, dan Kecukupan Sistem Informasi Manajemen Risiko, terkait Keamanan Siber</t>
  </si>
  <si>
    <t>3.1. Proses Manajemen Risiko terkait Keamanan Siber (Identifikasi, Pengukuran, Pemantauan, dan Pengendalian)</t>
  </si>
  <si>
    <t>3.1.a. Bank melaksanakan identifikasi seluruh risiko terkait keamanan siber secara berkala.</t>
  </si>
  <si>
    <t>3.1.b. Bank memastikan tersedianya metode atau sistem untuk melakukan identifikasi risiko pada seluruh kegiatan Bank yang terkait dengan keamanan siber</t>
  </si>
  <si>
    <t>3.1.c. Bank melakukan pengukuran risiko secara berkala untuk seluruh kegiatan Bank yang terkait dengan keamanan siber.</t>
  </si>
  <si>
    <t>3.1.d. Bank memiliki sistem pengukuran risiko untuk mengukur eksposur risiko terkait keamanan siber pada Bank sebagai acuan untuk melakukan pengendalian.</t>
  </si>
  <si>
    <t>3.1.e. Bank melakukan evaluasi dan penyempurnaan atas sistem pengukuran risiko terkait keamanan siber secara berkala atau sewaktu-waktu dalam hal diperlukan untuk memastikan kesesuaian asumsi, akurasi, kewajaran dan integritas data, serta prosedur yang digunakan untuk mengukur risiko terkait keamanan siber.</t>
  </si>
  <si>
    <t>3.1.f. Bank memiliki sistem dan prosedur pemantauan risiko terkait keamanan siber yang antara lain mencakup pemantauan risiko terkait keamanan siber terhadap besarnya eksposur risiko, toleransi risiko (risk tolerance), kepatuhan limit intern, dan hasil stress test maupun konsistensi pelaksanaan dengan kebijakan dan prosedur yang ditetapkan.</t>
  </si>
  <si>
    <t>3.1.g. Bank menyiapkan suatu sistem dan prosedur back-up yang efektif untuk mencegah terjadinya gangguan dalam proses pemantauan risiko terkait keamanan siber dan melakukan pengecekan serta penilaian kembali secara berkala terhadap sistem back-up tersebut.</t>
  </si>
  <si>
    <t>3.1.h. Bank memiliki sistem pengendalian risiko terkait keamanan siber yang memadai dengan mengacu pada kebijakan dan prosedur yang telah ditetapkan.</t>
  </si>
  <si>
    <t>3.2. Kecukupan SDM terkait Keamanan Siber</t>
  </si>
  <si>
    <t>3.2.a. Direksi memastikan kecukupan kuantitas dan kualitas SDM yang ada di Bank dan memastikan SDM dimaksud memahami tugas dan tanggung jawabnya dalam pelaksanaan manajemen risiko terkait keamanan siber, baik untuk unit bisnis, satuan kerja manajemen risiko, maupun unit pendukung yang bertanggung jawab atas pelaksanaan manajemen risiko terkait keamanan siber.</t>
  </si>
  <si>
    <t>3.2.b. Direksi mengembangkan sistem penerimaan, pengembangan, dan pelatihan pegawai, termasuk rencana suksesi manajerial serta remunerasi yang memadai untuk memastikan tersedianya pegawai yang kompeten di bidang manajemen risiko terkait keamanan siber.</t>
  </si>
  <si>
    <t>3.2.c. Direksi memastikan bahwa seluruh SDM memiliki pemahaman yang memadai atas risiko terkait keamanan siber dan mampu mengomunikasikan implikasi risiko terkait keamanan siber kepada Direksi, Dewan Komisaris, manajemen, dan nasabah.</t>
  </si>
  <si>
    <t>3.2.d. Direksi memastikan agar seluruh SDM memahami strategi, tingkat risiko terkait keamanan siber yang akan diambil (risk appetite) dan toleransi risiko (risk tolerance) terkait keamanan siber, kerangka manajemen risiko terkait keamanan siber yang telah ditetapkan oleh Direksi dan disetujui oleh Dewan Komisaris, serta memastikan seluruh SDM menerapkannya secara konsisten dalam aktivitas yang ditangani.</t>
  </si>
  <si>
    <t>3.2.e. Bank memiliki informasi yang utuh mengenai seluruh pegawai Bank, yang meliputi pengetahuan, keterampilan, kemampuan, dan karakter dari pegawai.</t>
  </si>
  <si>
    <t>3.2.f. Bank mengembangkan dan mengimplementasikan program berkelanjutan untuk peningkatan kapasitas terkait keamanan siber kepada seluruh pegawai yang relevan, termasuk level Direksi, Dewan Komisaris, dan manajemen untuk memastikan bahwa setiap pegawai memiliki kompetensi dan keahlian untuk menjalankan peran dan tanggung jawab secara efektif.</t>
  </si>
  <si>
    <t>3.2.g. Bank melakukan analisis kesenjangan (gap analysis) untuk memahami tingkat pengetahuan dan kemampuan pegawai terkait keamanan siber dan menggunakan informasi tersebut untuk membuat rencana aksi peningkatan kapasitas pegawai.</t>
  </si>
  <si>
    <t>3.3. Kecukupan Sistem Informasi Manajemen Risiko terkait Keamanan Siber</t>
  </si>
  <si>
    <t>3.3.a. Bank memiliki sistem informasi manajemen risiko terkait keamanan siber dan mengembangkannya sesuai dengan kebutuhan Bank dalam rangka penerapan manajemen risiko terkait keamanan siber yang efektif.</t>
  </si>
  <si>
    <t>3.3.b. Bank memastikan sistem informasi manajemen risiko terkait keamanan siber dan informasi yang dihasilkan telah sesuai dengan karakteristik dan kompleksitas kegiatan usaha Bank serta adaptif terhadap perubahan.</t>
  </si>
  <si>
    <t>3.3.c. Bank melakukan kaji ulang secara berkala atas kecukupan cakupan informasi yang dihasilkan dari sistem informasi manajemen risiko terkait keamanan siber untuk memastikan bahwa cakupan informasi tersebut telah memadai sesuai perkembangan tingkat kompleksitas kegiatan usaha Bank.</t>
  </si>
  <si>
    <t>3.3.d. Sebagai bagian dari sistem informasi manajemen risiko terkait keamanan siber, laporan tingkat maturitas keamanan siber disusun secara berkala oleh unit atau fungsi yang bertugas menangani ketahanan dan keamanan siber Bank. Frekuensi penyampaian laporan tingkat maturitas keamanan siber kepada Direksi terkait dan komite manajemen risiko harus ditingkatkan sesuai kebutuhan terutama dalam hal terdapat perkembangan serangan dan ancaman siber yang berubah dengan cepat.</t>
  </si>
  <si>
    <t>3.3.e. Bank memastikan sistem informasi manajemen risiko terkait keamanan siber mendukung pelaksanaan pelaporan tingkat maturitas keamanan siber kepada Otoritas Jasa Keuangan.</t>
  </si>
  <si>
    <t>Sistem Pengendalian Risiko terkait Keamanan Siber</t>
  </si>
  <si>
    <t>4.1. Kecukupan Sistem Pengendalian Intern</t>
  </si>
  <si>
    <t>4.1.a. Bank melaksanakan sistem pengendalian intern secara efektif dalam penerapan manajemen risiko terkait keamanan siber dengan mengacu pada kebijakan dan prosedur yang telah ditetapkan</t>
  </si>
  <si>
    <t xml:space="preserve">4.1.b. Bank melaksanakan sistem pengendalian intern secara efektif dalam penerapan proses ketahanan siber dengan mengacu pada kebijakan dan prosedur yang telah ditetapkan. </t>
  </si>
  <si>
    <t>4.1.c. Satuan kerja audit intern melakukan pemantauan terhadap perbaikan hasil temuan. Temuan yang belum ditindaklanjuti harus dilaporkan kepada Direksi dan/atau Dewan Komisaris untuk diambil langkah yang diperlukan.</t>
  </si>
  <si>
    <t xml:space="preserve">4.1.d. Bank memiliki sistem rotasi rutin untuk menghindari potensi self-dealing, persekongkolan atau penyembunyian suatu dokumentasi atau aktivitas yang tidak wajar. </t>
  </si>
  <si>
    <t>4.2. Kecukupan Kaji Ulang</t>
  </si>
  <si>
    <t>4.2.a. Bank melakukan kaji ulang dan evaluasi terhadap penerapan manajemen risiko terkait keamanan siber secara berkala sesuai dengan karakteristik dan kompleksitas Bank</t>
  </si>
  <si>
    <t>4.2.b. Bank memastikan satuan kerja yang menjalankan fungsi manajemen risiko terkait keamanan siber melakukan kaji ulang dan evaluasi secara memadai.</t>
  </si>
  <si>
    <t>4.2.c. Bank memastikan satuan kerja audit intern melakukan kaji ulang dan evaluasi secara memadai.</t>
  </si>
  <si>
    <t>4.2.d. Bank memastikan pihak yang melakukan kaji ulang dan evaluasi atas penerapan manajemen risiko terkait keamanan siber memiliki independensi dan kompetensi yang baik serta metode kaji ulang yang andal.</t>
  </si>
  <si>
    <t>4.2.e. Bank memastikan bahwa hasil kaji ulang dan evaluasi atas penerapan manajemen risiko terkait keamanan siber telah disampaikan kepada Direksi dan Dewan Komisaris untuk diambil langkah perbaikan dan/atau penyempurnaan manajemen risiko terkait keamanan siber</t>
  </si>
  <si>
    <t>KETERANGAN PENERAPAN KONTROL</t>
  </si>
  <si>
    <t>Sangat Memadai</t>
  </si>
  <si>
    <t>Memadai</t>
  </si>
  <si>
    <t>Cukup Memadai</t>
  </si>
  <si>
    <t>Belum Memadai</t>
  </si>
  <si>
    <t>Belum Diterapkan</t>
  </si>
  <si>
    <t>F. Kertas Kerja Penilaian Kualitas Penerapan Proses Ketahanan Siber</t>
  </si>
  <si>
    <t>Proses Identifikasi Aset, Ancaman, dan Kerentanan</t>
  </si>
  <si>
    <t>1.a. Bank menerapkan manajemen aset melalui inventarisasi dan penilaian aset TI (antara lain perangkat keras, perangkat lunak, jaringan, dan infrastruktur) serta pencatatan konfigurasi secara efektif.</t>
  </si>
  <si>
    <t>1.b. Bank melakukan identifikasi kerentanan dan pemantauan terhadap perkembangan siber terkini untuk mengidentifikasi ancaman siber.</t>
  </si>
  <si>
    <t>1.c. Bank melakukan pengujian keamanan siber secara berkala.</t>
  </si>
  <si>
    <t>Proses Pelindungan Aset</t>
  </si>
  <si>
    <r>
      <t>2.a. Bank menerapkan pengendalian keamanan (</t>
    </r>
    <r>
      <rPr>
        <i/>
        <sz val="10"/>
        <rFont val="Arial"/>
        <family val="2"/>
      </rPr>
      <t>security control</t>
    </r>
    <r>
      <rPr>
        <sz val="10"/>
        <rFont val="Arial"/>
      </rPr>
      <t>) yang komprehensif sesuai dengan hasil identifikasi aset, ancaman, dan kerentanan.</t>
    </r>
  </si>
  <si>
    <t>2.b. Bank melakukan pemeliharaan dan perbaikan terhadap pengendalian keamanan atas aset TI sesuai dengan kebijakan dan prosedur yang berlaku.</t>
  </si>
  <si>
    <t>2.c. Bank menerapkan sistem pengamanan yang dikelola dengan baik sesuai kebijakan dan prosedur yang berlaku.</t>
  </si>
  <si>
    <t>2.d. Bank melakukan penginian pengendalian keamanannya secara berkala untuk memastikan kecukupan kontrol keamanan yang digunakan sesuai dengan hasil terkini dari proses identifikasi</t>
  </si>
  <si>
    <t>2.e. Bank menerapkan manajemen keamanan data dan informasi serta memastikan bahwa data dan/atau informasi dikelola sesuai dengan strategi manajemen risiko terkait keamanan siber pada organisasi untuk melindungi kerahasiaan, integritas, serta ketersediaan data dan informasi</t>
  </si>
  <si>
    <t>2.f. Bank menerapkan manajemen pelindungan terhadap jaringan, perangkat keras, dan perangkat lunak.</t>
  </si>
  <si>
    <t>2.g. Bank menerapkan manajemen pelindungan terhadap akses dan pengguna untuk mencegah tindakan tidak terotorisasi pada perangkat, infrastruktur jaringan, dan komponen sistem yang dikelola oleh Bank.</t>
  </si>
  <si>
    <t>2.h. Bank menerapkan pelindungan yang memadai dalam pelaksanaan kerja sama antara Bank dengan pihak penyedia jasa TI, termasuk dalam penggunaan cloud.</t>
  </si>
  <si>
    <t>2.i. Bank memastikan penerapan secure coding dalam pengembangan sistem dan aplikasi untuk meminimalisasi kerentanan atas sistem dan aplikasi.</t>
  </si>
  <si>
    <t>2.j. Bank memastikan pelaksanaan patching berjalan dengan baik serta memastikan keandalan dan kemutakhiran seluruh komponen perangkat lunak, jaringan komunikasi, database, dan sistem operasi (operating system) Bank.</t>
  </si>
  <si>
    <t>Proses Deteksi Insiden Siber</t>
  </si>
  <si>
    <t>3.a. Bank memastikan ketersediaan dokumentasi kinerja dasar (baseline performance) atas fungsi kritis Bank dan sistem pendukung, agar setiap penyimpangan dapat dideteksi secara tepat waktu serta aktivitas dan kejadian anomali dapat ditandai untuk ditindaklanjuti.</t>
  </si>
  <si>
    <t>3.b. Bank melakukan pemantauan atas aktivitas mencurigakan serta melakukan pengelolaan dan pengujian terhadap proses dan prosedur deteksi untuk memastikan aktivitas anomali dapat dideteksi secara tepat waktu.</t>
  </si>
  <si>
    <t>3.c. Bank melakukan pemantauan atau deteksi secara berkelanjutan terhadap kerentanan untuk memastikan efektivitas upaya pelindungan yang telah diterapkan.</t>
  </si>
  <si>
    <t>3.d. Bank memastikan ketersediaan proses untuk mendeteksi insiden siber secara memadai.</t>
  </si>
  <si>
    <t>3.e. Bank melakukan analisis terhadap ancaman dan kerentanan dari suatu insiden siber untuk memastikan penanganan insiden secara efektif sehingga dapat mencegah terjadinya gangguan pada layanan dan/atau operasional Bank.</t>
  </si>
  <si>
    <t>Proses Penanggulangan dan Pemulihan Insiden Siber</t>
  </si>
  <si>
    <t>4.a. Bank menetapkan rencana penanggulangan dan pemulihan insiden siber untuk memastikan penanggulangan dan pengembalian layanan yang tepat waktu sesuai dengan risiko yang ditimbulkan, dengan dampak minimal.</t>
  </si>
  <si>
    <t>4.b. Bank menetapkan peran serta tugas dan tanggung jawab tim tanggap insiden siber untuk memastikan penanggulangan dan pemulihan insiden siber dilaksanakan dengan dampak minimal terhadap layanan dan operasional Bank.</t>
  </si>
  <si>
    <t>4.c. Bank menerapkan prosedur pemulihan dan upaya untuk mencegah penyebaran dampak dari suatu insiden siber dengan memitigasi dampak dan menanggulangi insiden siber tersebut.</t>
  </si>
  <si>
    <t>4.d. Bank melakukan analisis untuk memastikan langkah penanggulangan dan pemulihan insiden siber dijalankan dengan tepat.</t>
  </si>
  <si>
    <t>4.e. Bank melakukan eskalasi dan pelaporan atas insiden siber sesuai dengan jalur komunikasi yang telah ditetapkan</t>
  </si>
  <si>
    <r>
      <t>4.f. Bank melakukan analisis pasca insiden sebagai bahan pelajaran terpetik (</t>
    </r>
    <r>
      <rPr>
        <i/>
        <sz val="10"/>
        <rFont val="Arial"/>
        <family val="2"/>
      </rPr>
      <t>lesson learned</t>
    </r>
    <r>
      <rPr>
        <sz val="10"/>
        <rFont val="Arial"/>
      </rPr>
      <t>) dalam penanggulangan dan pemulihan insiden siber untuk perbaikan berkelanjutan</t>
    </r>
  </si>
  <si>
    <t>Peringkat Maturitas Kemanan Siber</t>
  </si>
  <si>
    <t>Kualitas Penerapan Manajemen Risiko terkait Keamanan Siber</t>
  </si>
  <si>
    <t>- Tingkat 1</t>
  </si>
  <si>
    <t>- Tingkat 2</t>
  </si>
  <si>
    <t>Kualitas Penerapan Proses Ketahanan Siber</t>
  </si>
  <si>
    <t>- Tingkat 3</t>
  </si>
  <si>
    <t>- Tingkat 4</t>
  </si>
  <si>
    <t>- Tingkat 5</t>
  </si>
  <si>
    <t>Matriks Penetapan Tingkat Risiko Inheren terkait Keamanan Siber</t>
  </si>
  <si>
    <t>Defenisi Peringkat</t>
  </si>
  <si>
    <t>LOW (1)</t>
  </si>
  <si>
    <r>
      <t xml:space="preserve">Dengan mempertimbangkan aktivitas bisnis yang dilakukan Bank, kemungkinan kerugian yang dihadapi Bank dari risiko inheren terkait keamanan siber tergolong sangat rendah selama periode waktu tertentu pada masa depan.
Contoh karakteristik Bank yang termasuk dalam peringkat </t>
    </r>
    <r>
      <rPr>
        <b/>
        <sz val="10"/>
        <rFont val="Arial"/>
        <family val="2"/>
      </rPr>
      <t>Low</t>
    </r>
    <r>
      <rPr>
        <sz val="10"/>
        <rFont val="Arial"/>
      </rPr>
      <t xml:space="preserve"> (1):
a. Bank menggunakan TI yang sangat terbatas dan kerentanan terhadap serangan siber sangat rendah;
b. tidak terdapat produk Bank yang disalurkan menggunakan TI dan/atau saluran daring dan mobile;
c. pergantian (turnover) pada SDM yang menangani TI/ ketahanan dan keamanan siber sangat rendah;
d. tidak terdapat insiden siber yang berdampak signifikan selama 12 (dua belas) bulan terakhir.</t>
    </r>
  </si>
  <si>
    <t>LOW TO MODERATE (2)</t>
  </si>
  <si>
    <r>
      <t xml:space="preserve">Dengan mempertimbangkan aktivitas bisnis yang dilakukan Bank, kemungkinan kerugian yang dihadapi Bank dari risiko inheren terkait keamanan siber tergolong rendah selama periode waktu tertentu pada masa depan.
Contoh karakteristik Bank yang termasuk dalam peringkat </t>
    </r>
    <r>
      <rPr>
        <b/>
        <sz val="10"/>
        <rFont val="Arial"/>
        <family val="2"/>
      </rPr>
      <t>Low to Moderate</t>
    </r>
    <r>
      <rPr>
        <sz val="10"/>
        <rFont val="Arial"/>
      </rPr>
      <t xml:space="preserve"> (2):
a. Bank menggunakan TI yang terbatas, kerentanan terhadap serangan siber rendah, dan Bank melakukan outsourcing TI dengan kompleksitas yang sangat rendah;
b. jenis produk Bank yang disalurkan menggunakan TI dan/atau saluran daring dan mobile sangat terbatas;
c. pergantian (turnover) pada SDM yang menangani TI/ketahanan dan keamanan siber rendah;
d. persentase insiden siber yang berdampak signifikan selama 12 (dua belas) bulan terakhir sangat rendah serta berdampak hanya pada intern Bank.</t>
    </r>
  </si>
  <si>
    <t>MODERATE (3)</t>
  </si>
  <si>
    <r>
      <t xml:space="preserve">Dengan mempertimbangkan aktivitas bisnis yang dilakukan Bank, kemungkinan kerugian yang dihadapi Bank dari risiko inheren terkait keamanan siber tergolong cukup tinggi selama periode waktu tertentu pada masa depan.
Contoh karakteristik Bank yang termasuk dalam peringkat </t>
    </r>
    <r>
      <rPr>
        <b/>
        <sz val="10"/>
        <rFont val="Arial"/>
        <family val="2"/>
      </rPr>
      <t>Moderate</t>
    </r>
    <r>
      <rPr>
        <sz val="10"/>
        <rFont val="Arial"/>
      </rPr>
      <t xml:space="preserve"> (3):
a. Bank menggunakan TI yang cukup terbatas, kerentanan terhadap serangan siber cukup rendah, dan Bank melakukan outsourcing TI dengan kompleksitas yang rendah;
b. jenis produk Bank yang disalurkan menggunakan TI dan/atau saluran daring dan mobile terbatas;
c. pergantian (turnover) pada SDM yang menangani TI/ ketahanan dan keamanan siber cukup tinggi;
d. persentase insiden siber yang berdampak signifikan selama 12 (dua belas) bulan terakhir rendah serta berdampak pada pihak ketiga selain nasabah.</t>
    </r>
  </si>
  <si>
    <t>MODERATE TO HIGH (4)</t>
  </si>
  <si>
    <r>
      <t xml:space="preserve">Dengan mempertimbangkan aktivitas bisnis yang dilakukan Bank, kemungkinan kerugian yang dihadapi Bank dari risiko inheren terkait keamanan siber tergolong tinggi selama periode waktu tertentu pada masa depan.
Contoh karakteristik Bank yang termasuk dalam peringkat </t>
    </r>
    <r>
      <rPr>
        <b/>
        <sz val="10"/>
        <rFont val="Arial"/>
        <family val="2"/>
      </rPr>
      <t>Moderate to High</t>
    </r>
    <r>
      <rPr>
        <sz val="10"/>
        <rFont val="Arial"/>
      </rPr>
      <t xml:space="preserve"> (4):
a. Bank menggunakan TI yang kompleks dalam hal cakupan dan kecanggihannya, kerentanan terhadap serangan siber cukup tinggi, dan Bank melakukan outsourcing TI kritikal dengan kompleksitas yang cukup tinggi;
b. jenis produk Bank yang disalurkan menggunakan TI dan/atau saluran daring dan mobile cukup banyak;
c. pergantian (turnover) pada SDM yang menangani TI/ ketahanan dan keamanan siber tinggi;
d. persentase insiden siber yang berdampak signifikan selama 12 (dua belas) bulan terakhir cukup tinggi serta berdampak pada ketersediaan produk Bank.</t>
    </r>
  </si>
  <si>
    <t>HIGH (5)</t>
  </si>
  <si>
    <r>
      <t xml:space="preserve">Dengan mempertimbangkan aktivitas bisnis yang dilakukan Bank, kemungkinan kerugian yang dihadapi Bank dari risiko inheren terkait keamanan siber tergolong sangat tinggi selama periode waktu tertentu pada masa depan.
Contoh karakteristik Bank yang termasuk dalam peringkat </t>
    </r>
    <r>
      <rPr>
        <b/>
        <sz val="10"/>
        <rFont val="Arial"/>
        <family val="2"/>
      </rPr>
      <t>High</t>
    </r>
    <r>
      <rPr>
        <sz val="10"/>
        <rFont val="Arial"/>
      </rPr>
      <t xml:space="preserve"> (5):
a. Bank menggunakan TI yang sangat kompleks dalam hal cakupan dan kecanggihannya, kerentanan terhadap serangan siber sangat tinggi, dan Bank melakukan outsourcing TI kritikal dengan kompleksitas yang tinggi;
b. jenis produk Bank yang disalurkan menggunakan TI dan/atau saluran daring dan mobile sangat tinggi;
c. pergantian (turnover) pada SDM yang menangani TI/ ketahanan dan keamanan siber sangat tinggi;
d. persentase insiden siber yang berdampak signifikan selama 12 (dua belas) bulan terakhir sangat tinggi serta berdampak langsung pada kerugian nasabah.</t>
    </r>
  </si>
  <si>
    <t>Matriks Penetapan Kualitas Penerapan Manajemen Risiko terkait Keamanan Siber</t>
  </si>
  <si>
    <t>STRONG (1)</t>
  </si>
  <si>
    <r>
      <t xml:space="preserve">Kualitas penerapan manajemen risiko terkait keamanan siber sangat memadai. Meskipun terdapat kelemahan minor tetapi kelemahan tersebut tidak signifikan sehingga dapat diabaikan.
Contoh karakteristik Bank yang termasuk dalam peringkat </t>
    </r>
    <r>
      <rPr>
        <b/>
        <sz val="10"/>
        <rFont val="Arial"/>
        <family val="2"/>
      </rPr>
      <t>Strong</t>
    </r>
    <r>
      <rPr>
        <sz val="10"/>
        <rFont val="Arial"/>
      </rPr>
      <t xml:space="preserve"> (1):
a. pengawasan aktif oleh Direksi dan Dewan Komisaris secara keseluruhan sangat memadai;
b. SDM sangat memadai, baik dari sisi kuantitas maupun kompetensi pada fungsi manajemen risiko terkait keamanan siber;
c. struktur organisasi terkait penerapan manajemen risiko terkait keamanan siber pada seluruh satuan kerja telah berjalan dengan sangat baik;
d. Direksi dan Dewan Komisaris memiliki kesadaran (awareness) dan pemahaman mengenai manajemen risiko terkait keamanan siber yang sangat baik;
e. budaya dan kesadaran manajemen risiko terkait keamanan siber telah dikembangkan dan diimplementasikan dengan sangat baik di seluruh lingkungan organisasi Bank;
f. program peningkatan kapasitas SDM di bidang keamanan informasi dan manajemen risiko terkait keamanan siber sangat memadai;
g. penetapan tingkat risiko yang akan diambil (risk appetite) dan toleransi risiko (risk tolerance) sangat memadai serta sangat sesuai dengan sasaran strategis dan strategi bisnis Bank;
h. strategi manajemen risiko terkait keamanan siber sangat sejalan dengan tingkat risiko yang akan diambil (risk appetite) dan toleransi risiko (risk tolerance) terkait keamanan siber;
i. kebijakan dan prosedur manajemen risiko serta penetapan limit risiko terkait keamanan siber sangat memadai dan tersedia untuk seluruh area manajemen risiko terkait keamanan siber, sejalan dengan penerapan, dan dipahami dengan baik oleh pegawai;
j. proses manajemen risiko terkait keamanan siber sangat memadai dalam mengidentifikasi, mengukur, memantau, dan mengendalikan risiko terkait keamanan siber;
k. sistem informasi manajemen risiko terkait keamanan siber sangat baik sehingga menghasilkan laporan risiko terkait keamanan siber yang komprehensif dan terintegrasi kepada Direksi dan Dewan Komisaris;
l. sistem pengendalian intern sangat efektif dalam mendukung pelaksanaan manajemen risiko terkait keamanan siber;
m. pelaksanaan kaji ulang independen oleh satuan kerja audit intern dan satuan kerja yang menjalankan fungsi manajemen risiko terkait keamanan siber sangat memadai, baik dari sisi metodologi, frekuensi, maupun pelaporan kepada Direksi dan Dewan Komisaris;
n. secara umum tidak terdapat kelemahan yang signifikan berdasarkan hasil kaji ulang independen;
o. tindak lanjut atas kaji ulang independen telah dilaksanakan dengan sangat memadai.</t>
    </r>
  </si>
  <si>
    <t>SATISFACTORY (2)</t>
  </si>
  <si>
    <r>
      <t xml:space="preserve">Kualitas penerapan manajemen risiko terkait keamanan siber memadai. Meskipun terdapat beberapa kelemahan minor, kelemahan tersebut dapat diselesaikan pada aktivitas bisnis normal.
Contoh karakteristik Bank yang termasuk dalam peringkat </t>
    </r>
    <r>
      <rPr>
        <b/>
        <sz val="10"/>
        <rFont val="Arial"/>
        <family val="2"/>
      </rPr>
      <t>Satisfactory</t>
    </r>
    <r>
      <rPr>
        <sz val="10"/>
        <rFont val="Arial"/>
      </rPr>
      <t xml:space="preserve"> (2):
a. pengawasan aktif oleh Direksi dan Dewan Komisaris secara keseluruhan memadai;
b. SDM memadai, baik dari sisi kuantitas maupun kompetensi pada fungsi manajemen risiko terkait keamanan siber;
c. struktur organisasi terkait penerapan manajemen risiko terkait keamanan siber pada seluruh satuan kerja telah berjalan dengan baik;
d. Direksi dan Dewan Komisaris memiliki kesadaran (awareness) dan pemahaman mengenai manajemen risiko terkait keamanan siber yang baik;
e. budaya dan kesadaran manajemen risiko terkait keamanan siber telah dikembangkan dan diimplementasikan dengan baik di seluruh lingkungan organisasi Bank;
f. program peningkatan kapasitas SDM di bidang keamanan informasi dan manajemen risiko terkait keamanan siber memadai;
g. penetapan tingkat risiko yang akan diambil (risk appetite) dan toleransi risiko (risk tolerance) memadai serta sesuai dengan sasaran strategis dan strategi bisnis Bank;
h. strategi manajemen risiko terkait keamanan siber sejalan dengan tingkat risiko yang akan diambil (risk appetite) dan toleransi risiko (risk tolerance) terkait keamanan siber;
i. kebijakan dan prosedur manajemen risiko serta penetapan limit risiko terkait keamanan siber memadai dan tersedia untuk seluruh area manajemen risiko terkait keamanan siber, sejalan dengan penerapan, dan dipahami dengan baik oleh pegawai meskipun terdapat kelemahan minor;
j. proses manajemen risiko terkait keamanan siber memadai;
o. tindak lanjut atas kaji ulang independen telah dilaksanakan dengan memadai dalam mengidentifikasi, mengukur, memantau, dan mengendalikan risiko terkait keamanan siber;
k. sistem informasi manajemen risiko terkait keamanan siber baik sehingga menghasilkan laporan risiko terkait keamanan siber yang komprehensif dan terintegrasi kepada Direksi dan Dewan Komisaris;
l. sistem pengendalian intern efektif dalam mendukung pelaksanaan manajemen risiko terkait keamanan siber;
m. pelaksanaan kaji ulang independen oleh satuan kerja audit intern dan satuan kerja yang menjalankan fungsi manajemen risiko terkait keamanan siber memadai, baik dari sisi metodologi, frekuensi, maupun pelaporan kepada Direksi dan Dewan Komisaris;
n. terdapat kelemahan yang tidak signifikan berdasarkan hasil kaji ulang independen;
o. tindak lanjut atas kaji ulang independen telah dilaksanakan dengan memadai.</t>
    </r>
  </si>
  <si>
    <t>FAIR (3)</t>
  </si>
  <si>
    <r>
      <t xml:space="preserve">Kualitas penerapan manajemen risiko terkait keamanan siber cukup memadai. Meskipun persyaratan minimum terpenuhi, terdapat beberapa kelemahan yang membutuhkan perhatian manajemen.
Contoh karakteristik Bank yang termasuk dalam peringkat </t>
    </r>
    <r>
      <rPr>
        <b/>
        <sz val="10"/>
        <rFont val="Arial"/>
        <family val="2"/>
      </rPr>
      <t>Fair</t>
    </r>
    <r>
      <rPr>
        <sz val="10"/>
        <rFont val="Arial"/>
      </rPr>
      <t xml:space="preserve"> (3):
a. pengawasan aktif oleh Direksi dan Dewan Komisaris secara keseluruhan cukup memadai;
b. SDM cukup memadai, baik dari sisi kuantitas maupun kompetensi pada fungsi manajemen risiko terkait keamanan siber;
c. struktur organisasi terkait penerapan manajemen risiko terkait keamanan siber pada seluruh satuan kerja telah berjalan dengan cukup baik;
d. Direksi dan Dewan Komisaris memiliki kesadaran (awareness) dan pemahaman mengenai manajemen risiko terkait keamanan siber yang cukup baik;
e. budaya dan kesadaran manajemen risiko terkait keamanan siber telah dikembangkan dan diimplementasikan dengan cukup baik di seluruh lingkungan organisasi Bank;
f. program peningkatan kapasitas SDM di bidang keamanan informasi dan manajemen risiko terkait keamanan siber cukup memadai;
g. penetapan tingkat risiko yang akan diambil (risk appetite) dan toleransi risiko (risk tolerance) cukup memadai namun tidak selalu sesuai dengan sasaran strategis dan strategi bisnis Bank;
h. strategi manajemen risiko terkait keamanan siber cukup sejalan dengan tingkat risiko yang akan diambil (risk appetite) dan toleransi risiko (risk tolerance) terkait keamanan siber;
i. kebijakan dan prosedur manajemen risiko serta penetapan limit risiko terkait keamanan siber cukup memadai namun tidak selalu sejalan dengan penerapan;
j. proses manajemen risiko terkait keamanan siber cukup memadai dalam mengidentifikasi, mengukur, memantau, dan mengendalikan risiko terkait keamanan siber;
k. sistem informasi manajemen risiko terkait keamanan siber cukup baik, termasuk pelaporan risiko terkait keamanan siber yang komprehensif dan terintegrasi kepada Direksi dan Dewan Komisaris;
l. sistem pengendalian intern cukup efektif dalam mendukung pelaksanaan manajemen risiko terkait keamanan siber;
m. pelaksanaan kaji ulang independen oleh satuan kerja audit intern dan satuan kerja yang menjalankan fungsi manajemen risiko terkait keamanan siber cukup memadai, baik dari sisi metodologi, frekuensi, maupun pelaporan kepada Direksi dan Dewan Komisaris;
n. terdapat kelemahan yang cukup signifikan berdasarkan hasil kaji ulang independen yang memerlukan perhatian manajemen;
o. tindak lanjut atas kaji ulang independen telah dilaksanakan dengan cukup memadai.</t>
    </r>
  </si>
  <si>
    <t>MARGINAL (4)</t>
  </si>
  <si>
    <r>
      <t xml:space="preserve">Kualitas penerapan manajemen risiko terkait keamanan siber kurang memadai. Terdapat kelemahan signifikan pada berbagai aspek manajemen risiko terkait keamanan siber yang memerlukan tindakan korektif segera.
Contoh karakteristik Bank yang termasuk dalam peringkat </t>
    </r>
    <r>
      <rPr>
        <b/>
        <sz val="10"/>
        <rFont val="Arial"/>
        <family val="2"/>
      </rPr>
      <t>Marginal</t>
    </r>
    <r>
      <rPr>
        <sz val="10"/>
        <rFont val="Arial"/>
      </rPr>
      <t xml:space="preserve"> (4):
a. pengawasan aktif oleh Direksi dan Dewan Komisaris secara keseluruhan kurang memadai, dan terdapat kelemahan pada berbagai aspek penilaian yang memerlukan perbaikan segera;
b. SDM kurang memadai, baik dari sisi kuantitas maupun kompetensi pada fungsi manajemen risiko terkait keamanan siber;
c. struktur organisasi terkait penerapan manajemen risiko terkait keamanan siber pada seluruh satuan kerja kurang berjalan dengan baik;
d. kelemahan signifikan atas kesadaran (awareness) dan pemahaman Direksi dan Dewan Komisaris mengenai manajemen risiko terkait keamanan siber;
e. budaya dan kesadaran manajemen risiko terkait keamanan siber kurang dikembangkan dan diimplementasikan dengan baik di seluruh lingkungan organisasi Bank;
f. program peningkatan kapasitas SDM di bidang keamanan informasi dan manajemen risiko terkait keamanan siber kurang memadai;
g. penetapan tingkat risiko yang akan diambil (risk appetite) dan toleransi risiko (risk tolerance) kurang memadai serta tidak sesuai dengan sasaran strategis dan strategi bisnis Bank;
h. strategi manajemen risiko terkait keamanan siber kurang sejalan dengan tingkat risiko yang akan diambil (risk appetite) dan toleransi risiko (risk tolerance) terkait keamanan siber;
i. kebijakan dan prosedur manajemen risiko serta penetapan limit risiko terkait keamanan siber kurang memadai dan tidak sejalan dengan penerapan;
j. proses manajemen risiko terkait keamanan siber kurang memadai dalam mengidentifikasi, mengukur, memantau, dan mengendalikan risiko terkait keamanan siber; 
k. kelemahan signifikan pada sistem informasi manajemen risiko terkait keamanan siber, termasuk pelaporan risiko terkait keamanan siber kepada Direksi dan Dewan Komisaris, yang memerlukan perbaikan segera;
l. sistem pengendalian intern kurang efektif dalam mendukung pelaksanaan manajemen risiko terkait keamanan siber;
m. pelaksanaan kaji ulang independen oleh satuan kerja audit intern dan satuan kerja yang menjalankan fungsi manajemen risiko terkait keamanan siber kurang memadai, baik dari sisi metodologi, frekuensi, maupun pelaporan kepada Direksi dan Dewan Komisaris;
n. terdapat kelemahan yang signifikan berdasarkan hasil kaji ulang independen yang memerlukan perbaikan segera;
o. tindak lanjut atas kaji ulang independen dilaksanakan dengan kurang memadai.</t>
    </r>
  </si>
  <si>
    <t>UNSATISFACTORY (5)</t>
  </si>
  <si>
    <r>
      <t xml:space="preserve">Kualitas penerapan manajemen risiko terkait keamanan siber tidak memadai. Terdapat kelemahan signifikan pada berbagai aspek manajemen risiko terkait keamanan siber yang tindakan penyelesaiannya di luar kemampuan manajemen.
Contoh karakteristik Bank yang termasuk dalam peringkat </t>
    </r>
    <r>
      <rPr>
        <b/>
        <sz val="10"/>
        <rFont val="Arial"/>
        <family val="2"/>
      </rPr>
      <t>Unsatisfactory</t>
    </r>
    <r>
      <rPr>
        <sz val="10"/>
        <rFont val="Arial"/>
      </rPr>
      <t xml:space="preserve"> (5):
a. pengawasan aktif oleh Direksi dan Dewan Komisaris secara keseluruhan tidak memadai serta terdapat kelemahan pada hampir seluruh aspek penilaian dan tindakan penyelesaiannya di luar kemampuan Bank;
b. SDM tidak memadai, baik dari sisi kuantitas maupun kompetensi pada fungsi manajemen risiko terkait keamanan siber;
c. struktur organisasi terkait penerapan manajemen risiko terkait keamanan siber pada seluruh satuan kerja tidak berjalan dengan baik;
d. kesadaran (awareness) dan pemahaman Direksi dan Dewan Komisaris mengenai manajemen risiko terkait keamanan siber sangat lemah;
e. budaya dan kesadaran manajemen risiko terkait keamanan siber tidak dikembangkan dan diimplementasikan di lingkungan organisasi Bank atau belum ada sama sekali;
f. program peningkatan kapasitas SDM di bidang keamanan informasi dan manajemen risiko terkait keamanan siber tidak memadai;
g. penetapan tingkat risiko yang akan diambil (risk appetite) dan toleransi risiko (risk tolerance) tidak memadai serta tidak terdapat kaitan dengan sasaran strategis dan strategi bisnis Bank;
h. strategi manajemen risiko terkait keamanan siber tidak sejalan dengan tingkat risiko yang akan diambil (risk appetite) dan toleransi risiko (risk tolerance) terkait keamanan siber;
i. kelemahan sangat signifikan pada kebijakan dan prosedur manajemen risiko serta penetapan limit risiko terkait keamanan siber;
j. proses manajemen risiko terkait keamanan siber tidak memadai dalam mengidentifikasi, mengukur, memantau, dan mengendalikan risiko terkait keamanan siber;
k. kelemahan fundamental pada sistem informasi manajemen risiko terkait keamanan siber;
l. sistem pengendalian intern tidak efektif dalam mendukung pelaksanaan manajemen risiko terkait keamanan siber;
m. pelaksanaan kaji ulang independen oleh satuan kerja audit intern dan satuan kerja yang menjalankan fungsi manajemen risiko terkait keamanan siber tidak memadai, serta terdapat kelemahan pada metodologi, frekuensi, dan/atau pelaporan kepada Direksi dan Dewan Komisaris yang memerlukan perbaikan fundamental;
n. terdapat kelemahan yang sangat signifikan berdasarkan hasil kaji ulang independen yang memerlukan perbaikan segera;
o. tindak lanjut atas kaji ulang independen tidak memadai atau tidak ada.</t>
    </r>
  </si>
  <si>
    <r>
      <t xml:space="preserve">Kualitas penerapan proses ketahanan siber sangat memadai. Meskipun terdapat kelemahan minor tetapi kelemahan tersebut tidak signifikan sehingga dapat diabaikan.
Contoh karakteristik Bank yang termasuk dalam peringkat </t>
    </r>
    <r>
      <rPr>
        <b/>
        <sz val="10"/>
        <rFont val="Arial"/>
        <family val="2"/>
      </rPr>
      <t>Strong</t>
    </r>
    <r>
      <rPr>
        <sz val="10"/>
        <rFont val="Arial"/>
      </rPr>
      <t xml:space="preserve"> (1):
a. proses identifikasi aset, ancaman dan kerentanan sangat memadai;
b. proses pelindungan aset dilaksanakan dengan sangat baik;
c. proses deteksi insiden siber sangat andal dan teruji;
d. proses penanggulangan dan pemulihan insiden siber dilaksanakan dengan sangat baik dan tidak menimbulkan gangguan yang signifikan.</t>
    </r>
  </si>
  <si>
    <r>
      <t xml:space="preserve">Kualitas penerapan proses ketahanan siber memadai. Meskipun terdapat beberapa kelemahan minor, kelemahan tersebut dapat diselesaikan pada aktivitas bisnis normal.
Contoh karakteristik Bank yang termasuk dalam peringkat </t>
    </r>
    <r>
      <rPr>
        <b/>
        <sz val="10"/>
        <rFont val="Arial"/>
        <family val="2"/>
      </rPr>
      <t>Satisfactory</t>
    </r>
    <r>
      <rPr>
        <sz val="10"/>
        <rFont val="Arial"/>
      </rPr>
      <t xml:space="preserve"> (2):
a. proses identifikasi aset, ancaman, dan kerentanan memadai;
b. proses pelindungan aset dilaksanakan dengan baik;
c. proses deteksi insiden siber andal dan teruji;
d. proses penanggulangan dan pemulihan insiden siber dilaksanakan dengan baik meskipun terdapat gangguan namun tidak bersifat signifikan.</t>
    </r>
  </si>
  <si>
    <r>
      <t xml:space="preserve">Kualitas penerapan proses ketahanan siber cukup memadai. Meskipun persyaratan minimum terpenuhi, terdapat beberapa kelemahan yang membutuhkan perhatian manajemen.
Contoh karakteristik Bank yang termasuk dalam peringkat </t>
    </r>
    <r>
      <rPr>
        <b/>
        <sz val="10"/>
        <rFont val="Arial"/>
        <family val="2"/>
      </rPr>
      <t>Fair</t>
    </r>
    <r>
      <rPr>
        <sz val="10"/>
        <rFont val="Arial"/>
      </rPr>
      <t xml:space="preserve"> (3):
a. proses identifikasi aset, ancaman, dan kerentanan cukup memadai;
b. proses pelindungan aset dilaksanakan dengan cukup baik;
c. proses deteksi insiden siber cukup andal dan teruji;
d. proses penanggulangan dan pemulihan insiden siber dilaksanakan dengan cukup baik namun tetap menimbulkan gangguan yang bersifat minor.</t>
    </r>
  </si>
  <si>
    <r>
      <t xml:space="preserve">Kualitas penerapan proses ketahanan siber kurang memadai. Terdapat kelemahan signifikan pada berbagai proses untuk menjaga ketahanan siber yang memerlukan tindakan korektif segera.
Contoh karakteristik Bank yang termasuk dalam peringkat </t>
    </r>
    <r>
      <rPr>
        <b/>
        <sz val="10"/>
        <rFont val="Arial"/>
        <family val="2"/>
      </rPr>
      <t xml:space="preserve">Marginal </t>
    </r>
    <r>
      <rPr>
        <sz val="10"/>
        <rFont val="Arial"/>
      </rPr>
      <t>(4):
a. proses identifikasi aset, ancaman, dan kerentanan kurang memadai;
b. proses pelindungan aset dilaksanakan dengan kurang baik;
c. proses deteksi insiden siber kurang andal dan teruji;
d. proses penanggulangan dan pemulihan insiden siber dilaksanakan dengan kurang baik dan menimbulkan gangguan yang signifikan.</t>
    </r>
  </si>
  <si>
    <r>
      <t xml:space="preserve">Kualitas penerapan proses ketahanan siber tidak memadai. Terdapat kelemahan signifikan pada berbagai proses untuk menjaga ketahanan siber yang tindakan penyelesaiannya di luar kemampuan manajemen.
Contoh karakteristik Bank yang termasuk dalam peringkat </t>
    </r>
    <r>
      <rPr>
        <b/>
        <sz val="10"/>
        <rFont val="Arial"/>
        <family val="2"/>
      </rPr>
      <t>Unsatisfactory</t>
    </r>
    <r>
      <rPr>
        <sz val="10"/>
        <rFont val="Arial"/>
      </rPr>
      <t xml:space="preserve"> (5):
a. proses identifikasi aset, ancaman, dan kerentanan tidak memadai;
b. proses pelindungan aset tidak dilaksanakan dengan baik;
c. proses deteksi insiden siber tidak andal dan teruji;
d. proses penanggulangan dan pemulihan insiden siber tidak dilaksanakan dengan baik sehingga menimbulkan gangguan yang sangat signifikan.</t>
    </r>
  </si>
  <si>
    <t>Matriks Penetapan Tingkat Maturitas Keamanan Siber</t>
  </si>
  <si>
    <t>TINGKAT 1</t>
  </si>
  <si>
    <t>Mencerminkan kondisi maturitas keamanan siber Bank yang secara umum sangat tinggi, tercermin dari penerapan manajemen risiko terkait keamanan siber dan penerapan proses ketahanan siber yang secara umum sangat baik. Dalam hal terdapat kelemahan maka secara umum kelemahan tersebut tidak signifikan.</t>
  </si>
  <si>
    <t>TINGKAT 2</t>
  </si>
  <si>
    <t>Mencerminkan kondisi maturitas keamanan siber Bank yang secara umum tinggi, tercermin dari penerapan manajemen risiko terkait keamanan siber dan penerapan proses ketahanan siber yang secara umum baik. Dalam hal terdapat kelemahan maka secara umum kelemahan tersebut kurang signifikan.</t>
  </si>
  <si>
    <t>TINGKAT 3</t>
  </si>
  <si>
    <t>Mencerminkan kondisi maturitas keamanan siber Bank yang secara umum cukup, tercermin dari penerapan manajemen risiko terkait keamanan siber dan penerapan proses ketahanan siber yang secara umum cukup baik. Dalam hal terdapat kelemahan maka secara umum kelemahan tersebut cukup signifikan dan apabila tidak berhasil diatasi dengan baik oleh manajemen dapat mengganggu kelangsungan usaha Bank.</t>
  </si>
  <si>
    <t>TINGKAT 4</t>
  </si>
  <si>
    <t>Mencerminkan kondisi maturitas keamanan siber Bank yang secara umum rendah, tercermin dari penerapan manajemen risiko terkait keamanan siber dan penerapan proses ketahanan siber yang secara umum kurang baik. Terdapat kelemahan yang secara umum signifikan dan tidak dapat diatasi dengan baik oleh manajemen serta mengganggu kelangsungan usaha Bank.</t>
  </si>
  <si>
    <t>TINGKAT 5</t>
  </si>
  <si>
    <t>Mencerminkan kondisi maturitas keamanan siber Bank yang secara umum sangat rendah, tercermin dari penerapan manajemen risiko terkait keamanan siber dan penerapan proses ketahanan siber yang secara umum kurang baik. Terdapat kelemahan yang secara umum sangat signifikan sehingga untuk mengatasinya diperlukan dukungan dana dari pemegang saham atau sumber dana dari pihak lain untuk memperkuat penerapan manajemen risiko terkait keamanan siber dan penerapan proses ketahanan siber pada Bank.</t>
  </si>
  <si>
    <t>Peringkat Risiko Inheren
terkait Keamanan Siber</t>
  </si>
  <si>
    <t>Peringkat Tingkat
Maturitas Keamanan Siber</t>
  </si>
  <si>
    <t>Penilaian Risiko Inheren terkait
Keamanan Siber</t>
  </si>
  <si>
    <t>Penilaian Tingkat Maturitas Keamanan Siber</t>
  </si>
  <si>
    <t>No.</t>
  </si>
  <si>
    <t>Faktor Penilaian</t>
  </si>
  <si>
    <t>Analisis</t>
  </si>
  <si>
    <t>Bank telah memiliki ketentuan mengenai penerapan manajemen risiko terkait keamanan siber</t>
  </si>
  <si>
    <t>DMR</t>
  </si>
  <si>
    <t>saat ini ketahanan Siber menjadi salah satu paramter dalam Risk Appetite Bank</t>
  </si>
  <si>
    <t>secara umum Bank telah melakukan kampanye baik kepada nasabah maupun kepada internal Bank terkait dengan keamanan siber</t>
  </si>
  <si>
    <t>DMR dan DTI</t>
  </si>
  <si>
    <t>Sudah memiliki ketentuan mengenai penerapan manajemen risiko keamanan siber, dan akan melakukan evaluasi sesuai dengan perkembangannya.</t>
  </si>
  <si>
    <t>Mendukung adanya sosialisasi terkait dengan keamanan siber, serta pertemuan untuk membahas mengenai siber dan akan melaksanakan risk awarness terkait keamanan siber</t>
  </si>
  <si>
    <t>Sudah memiliki fungsi siber yang independen dari fungsi TI bank pada Divisi Manajemen Risiko</t>
  </si>
  <si>
    <t>Divisi Manajemen Risiko menerbitkan ketentuan mengenai keamanan siber dan telah memiliki fungsi siber pada job desc, serta akan membentuk tim tanggap insiden siber</t>
  </si>
  <si>
    <t>Bank akan menerbitkan ketentuan turunan untuk mendukung keamanan siber</t>
  </si>
  <si>
    <t>Dalam proses untuk pengembangan terkait manajemen risiko teknologi informasi yang didalamnya terdapat ketahanan dan keamanan siber</t>
  </si>
  <si>
    <t>Saat ini SDM terkait keamanan siber masih terbatas, namun tetap melakukan peningkatan kualitas melalui diklat</t>
  </si>
  <si>
    <t>Melaksanakan sosialisasi dan diklat untuk menambah kompentensi SDM dibidang siber</t>
  </si>
  <si>
    <t>Sudah melaksanakan pemeriksaan berdasarkan ketentuan baik internal maupun eksternal</t>
  </si>
  <si>
    <t>Seluruh temuan dilaporkan kepada Direksi/Komisaris</t>
  </si>
  <si>
    <t>Bank sudah menerapkan sistem rotasi/mutasi pada seluruh unit kerja</t>
  </si>
  <si>
    <t>Sudah memiliki fungsi siber yang independen dari fungsi TI bank pada Divisi Manajemen Risiko dan fungsi security IT pada Divisi Teknologi Informasi</t>
  </si>
  <si>
    <t>DTI, DMR</t>
  </si>
  <si>
    <t>Bank telah mengimplementasikan Firewall, Web Application Firewall, SOC, Antispam, Endpoint Security, Access List dan network VPN</t>
  </si>
  <si>
    <t>DTI, DMR, DUM</t>
  </si>
  <si>
    <t>Bank secara rutin melakukan update terhadap IP Bad Reputation, patching firmware firewall dan update endpoint security</t>
  </si>
  <si>
    <t>DTI</t>
  </si>
  <si>
    <t>Bank telah menerapkan manajemen keamanan data dan informasi seperti mengimplementasikan infrastruktur keamanan, penggunaan protocol yang secure, hak akses control pada aplikasi, penggunaan secure network, penerapan two factor authentication</t>
  </si>
  <si>
    <t>Perlindungan terhadap jaringan dilakukan dengan mengimplementasikan SOC, firewall, web application firewall</t>
  </si>
  <si>
    <t>Perlindungan terhadap akses dan penggunaan untuk mencegah tindakan terotorisasi dilakukan pada layer aplikasi berdasarkan user matriks access control</t>
  </si>
  <si>
    <t>Bank melakukan verifikasi terhadap perusahaan yang bekerjsaman dengan Bank dan membuat klausa perlindungan data pada perjanjian kerja sama</t>
  </si>
  <si>
    <t>Bank menerapkan proses SDLC yang memadai</t>
  </si>
  <si>
    <t>Patching belum dilakukan secara maksimal</t>
  </si>
  <si>
    <t>Bank melakukan analisis terhadap ancamanan dan kerentanan yang terjadi</t>
  </si>
  <si>
    <t>Bank telah melakukan simulasi ketahanan siber yang dilakukan secara bersamaan dengan pelaksanaan live operasional DRC</t>
  </si>
  <si>
    <t>Bank telah memiliki ketentuan yang mengatur insiden siber</t>
  </si>
  <si>
    <t>Bank senantiasa melakukan analisis terhadap insiden-insiden yang terjadi</t>
  </si>
  <si>
    <t>Bank telah memiliki prosedur pelaporan atas insiden siber</t>
  </si>
  <si>
    <t>Bank senantiasa melakukan analisis pasca insiden serta menjadikan bahan pembelajaran untuk diimplementasikan</t>
  </si>
  <si>
    <t>Aset teknologi informasi telah diinventarisir dan telah dinilai</t>
  </si>
  <si>
    <t xml:space="preserve"> DMR dan DTI</t>
  </si>
  <si>
    <t>DSDM</t>
  </si>
  <si>
    <t>Bank memiliki tools perimeter security seperti next generation firewall, web application firewall, endpoint security. Bank juga memiliki tools detection &amp; response atas security seperti SOC, FDS dll. Implementasi tools security dilakukan dalam rangka penerapan manajemen risiko terkait dengan pengamanan sistem dalam rangka keamanan siber yang efektif</t>
  </si>
  <si>
    <t>Tools security yang saat ini dimiliki dinilai masih cukup efektif untuk skalabilitas dan kompleksitas kegiatan usaha bank dan dinilai adaptif terhadap perubahan</t>
  </si>
  <si>
    <t xml:space="preserve">DTI </t>
  </si>
  <si>
    <t>Tim IT secara rutin melakukan pemantauan dan evaluasi. Disamping itu, pembenahan tetap dilakukan secara rutin melalui rencana bisnis bank setiap tahunnya dalam rangka peningkatan ketahanan sistem dan keamanan siber</t>
  </si>
  <si>
    <t>Laporan tingkat maturitas keamanan siber disusun secara berkala</t>
  </si>
  <si>
    <t>Tools security yang dimiliki dinilai dapat mendukung pelaksanaan pelaporan tingkat maturitas keamanan siber</t>
  </si>
  <si>
    <t>DPg</t>
  </si>
  <si>
    <t>Bank telah mengimplementasikan SOC yang didalamnya sudah termasuk threat intelligence, melakukan vulnerability assessment dan penetration test</t>
  </si>
  <si>
    <t>Tools security sebagai perimeter security standar yang sudah diimplementasikan adalah firewall, web application firewall, endpoint security, antispam. Penguatan lainnya adalah Bank melakukan pengujian kehandalan dan keamanan dengan melakukan penetration test terhadap aplikasi-aplikasi critical</t>
  </si>
  <si>
    <t>Secara rutin dilakukan pemantauan secara manual, pemantauan dengan layanan SOC. Bank juga melakukan update knowledge base tools security secara rutin seperti update firmware, definition, patching, serta secara rutin dan otomatis melakukan update IP yang berstatus bad reputation ataupun IP yang melakukan jenis atau pola serangan siber</t>
  </si>
  <si>
    <t>Log atas aktifitas security pada layanan-layanan critical seperti server, firewall, waf, router, core switch telah diintegrasikan dengan log collector yang merupakan satu kesatuan layanan SOC. Layanan SOC juga memiliki dashboard yang dapat diakses secara jaringan dengan kondisi yang realtime</t>
  </si>
  <si>
    <t>Tools yang digunakan untuk monitoring dan deteksi adalah firewall (next generation firewall), web application firewall, antivirus, antispam. Disamping itu, Bank juga telah mengimplementasikan layanan SOC sebagai bagian tools security untuk monitoring dan mendeteksi serangan siber. Pada layanan SOC juga sudah dibekali dengan threat intelligence</t>
  </si>
  <si>
    <t>Nama Bank   : PT Bank Sumut</t>
  </si>
  <si>
    <t>Bank telah memiliki ketentuan mengenai penerapan manajemen risiko terkait ketahanan dan keamanan siber</t>
  </si>
  <si>
    <t>1. SK No. 218/Dir/DMR-MRO/SK/2023 tanggal 29 Desember 2023 tentang Ketahanan dan Keamanan Siber
2. SE No. 130/Dir/DMR-MRO/SE/2023 tanggal 29 Desember 2023 perihal Ketentuan Pelaksanaan Mengenai Ketahanan dan Keamanan Siber PT Bank Sumut</t>
  </si>
  <si>
    <t xml:space="preserve">Monitoring Risk Appetite Statement yang disampaikan pada laporan portofolio risiko </t>
  </si>
  <si>
    <t>Vidio edukasi yang diupload pada instagram Bank Sumutnews</t>
  </si>
  <si>
    <t>DMR, SEKPER, DTI</t>
  </si>
  <si>
    <t>Melakukan sosialisasi simulasi kepada seluruh pegawai terkait pemahaman akan terjadi serangan siber</t>
  </si>
  <si>
    <t>Sudah memiliki fungsi siber yang independen dari fungsi TI Bank pada Divisi Manajemen Risiko, dan sudah memiliki ketentuan mengenai ketahanan dan keamanan siber serta secara internal Divisi Teknologi Informasi juga memiliki bidang security IT</t>
  </si>
  <si>
    <t>1. SK No. 218/Dir/DMR-MRO/SK/2023 tanggal 29 Desember 2023 tentang Ketahanan dan Keamanan Siber
2. SE No. 130/Dir/DMR-MRO/SE/2023 tanggal 29 Desember 2023 perihal Ketentuan Pelaksanaan Mengenai Ketahanan dan Keamanan Siber PT Bank Sumut
3. Profil Jabatan Divisi Manajemen Risiko Bidang Manajemen Risiko Operasional
4. Struktur Organisasi Divisi Teknologi Informasi</t>
  </si>
  <si>
    <t xml:space="preserve">Divisi Manajemen Risiko menerbitkan ketentuan mengenai katahanan dan keamanan siber </t>
  </si>
  <si>
    <t>Divisi Manajemen Risiko telah melakukan analisa siber terhadap produk-produk maupun layanan yang akan diimplementasikan contoh analisa siber terhadap API, Sumut Mobile, Internet Banking dll</t>
  </si>
  <si>
    <t>Sudah memiliki ketentuan mengenai penerapan manajemen risiko ketahanan dan keamanan siber, dan Insiden TI  serta melakukan evaluasi sesuai dengan perkembangannya.</t>
  </si>
  <si>
    <t xml:space="preserve">Sudah dilakukan kaji ulang/review terhadap ketentuan siber diakhir tahun 2023 </t>
  </si>
  <si>
    <t>Bank melakukan analisa risiko siber pada produk digital/elektronik Bank</t>
  </si>
  <si>
    <t xml:space="preserve"> DMR </t>
  </si>
  <si>
    <t>Menjadi objek pemantauan dan pemeriksaan</t>
  </si>
  <si>
    <t>Seluruh temuan terkait siber akan dilaporkan kepada Direksi/Komisaris. Hasil kaji ulang disampaikan ke Direksi</t>
  </si>
  <si>
    <t>DPg, DMR</t>
  </si>
  <si>
    <t>a. Masih menggunakan full outsource dalam Core Banking System dan Core Switching System serta memiliki beberapa host to host ke  pihak ketiga.
b. Banyak menggunakan interkoneksi ke Internet Publik
c. Memiliki jaringan kantor yang tersebar di lebih dari 300 lokasi. 
d. Sudah mengimplementasikan Fraud Detection System (FDS) 
e. Hanya menerbitkan kartu debit dimana pengisian ATM lebih banyak dikelola oleh pihak ketiga. 
f. Turn over pergantian SDM yang menangani IT/ Keamanan Siber dinilai masih rendah, SDM terkait siber masih terbatas</t>
  </si>
  <si>
    <t>Aplikasi yang diakses internet
public seperti Mail, Dokumen Elektronik, ePendidikan, eSTS, ePDAM, ePasar, CMS Kasda, IB Kasda,Smartloan, eCustody, SNAP, Mobile Banking, Laku Pandai, dll</t>
  </si>
  <si>
    <t>Koneksi ke third party seperti Pemda, Universitas, Asuransi, PDAM</t>
  </si>
  <si>
    <t>Hanya digunakan untuk kebutuhan kegiatan operasional pegawai</t>
  </si>
  <si>
    <t>Jaringan intranet Bank tersebar di 479 titik jaringan
kantor, kas mobil, payment point, ATM &amp; CRM, third party</t>
  </si>
  <si>
    <t>Bank menggunakan jasa pihak
ketiga dalam penyelenggaraan
pusat data secara full Managed</t>
  </si>
  <si>
    <t xml:space="preserve">Secara umum aplikasi surrounding seperti eDoc, ePendidikan, Absensi, eSTS, ePDAM, ePasar, Smartloan, dan yang lainnya dikembangkan oleh internal TI Bank. </t>
  </si>
  <si>
    <t>Perangkat keras PC dan
perangkat lunak Operating
System</t>
  </si>
  <si>
    <t>Terdapat sejumlah perangkat
pribadi yang digunakan oleh
pegawai, namun penggunaan
perangkat pribadi hanya
dibenarkan apabila perangkat
yang digunakan telah diassess
dan dikonfigurasi oleh tim IT sesuai dengan ketentuan yang berlaku</t>
  </si>
  <si>
    <t>Terdapat sejumlah perangkat
pribadi yang digunakan oleh
pegawai, namun penggunaan
perangkat pribadi hanya
dibenarkan apabila perangkat
yang digunakan telah diassess
dan dikonfigurasi oleh tim IT sesuai dengan ketentuan yang berlaku. IP Destionation disesuaikan dengan kebutuhan pengguna dan terbatas</t>
  </si>
  <si>
    <t>Full Outsource Core Banking System, Core Switching System dan Mobile Banking System</t>
  </si>
  <si>
    <t>Proses pengisian ATM
dikombinasikan antara internal
Bank dengan Vendor</t>
  </si>
  <si>
    <t>Tidak terjadi penggantian
SDM yang menangani TI/
ketahanan dan keamanan
siber</t>
  </si>
  <si>
    <t>Seluruh privilege access
untuk seluruh tipe perangkat
dikelola oleh Divisi Teknologi
Informasi</t>
  </si>
  <si>
    <t>Implementasi sistem kritikal dalam 1 tahun terakhir adalah FDS, SPBI dan Infrastruktur Security</t>
  </si>
  <si>
    <t xml:space="preserve">Tidak ada insiden siber yang berdampak signifikan
</t>
  </si>
  <si>
    <t>Tidak terdapat dampak
(tidak terdapat insiden siber)</t>
  </si>
  <si>
    <t>saat ini ketahanan Siber menjadi salah satu parameter dalam Risk Appetite Bank</t>
  </si>
  <si>
    <t>1. SK No. 218/Dir/DMR-MRO/SK/2023 tanggal 29 Desember 2023 tentang Ketahanan dan Keamanan Siber
2. SE No. 130/Dir/DMR-MRO/SE/2023 tanggal 29 Desember 2023 perihal Ketentuan Pelaksanaan Mengenai Ketahanan dan Keamanan Siber PT Bank Sumut
3. Profil Jabatan Divisi Manajemen Risiko Bidang Manajemen Risiko Operasional
4. Struktur Organisasi Divisi Teknologi Informasi
5. SK No. 214 /Dir/DMR-MROL/SK/2024 tanggal 21 Oktober 2024 tentang Tim Tanggap Insiden Siber PT Bank Sumut</t>
  </si>
  <si>
    <t>1. SE No. 115/Dir/DMR-MROL/SE/2024 tanggal 24 September 2024 tentang Pedoman Pelaksanaan Manajemen Insiden Keamanan Informasi/Siber serta Proses Penanggulangan dan Pemulihan Insiden Siber Pada PT Bank Sumut</t>
  </si>
  <si>
    <t>1. SK No. 214 /Dir/DMR-MROL/SK/2024 tanggal 21 Oktober 2024 tentang Tim Tanggap Insiden Siber PT Bank Sumut
2. Bank telah memiliki sistem monitoring (SOC+SIEM) terhadap risiko keamanan siber</t>
  </si>
  <si>
    <t>Sudah memiliki database pegawai, sebagai informasi pegawai menyeluruh dan Portal Divisi Teknologi Informasi terkait informasi</t>
  </si>
  <si>
    <t>Aplikasi kepegawaian E Best
Aplikasi portal DTI</t>
  </si>
  <si>
    <t>SK Kebijakan Sistem Manajemen Keamanan Informasi</t>
  </si>
  <si>
    <t>Bank telah melakukan vulnerability assessment dengan melaksanakan penetration test secara berkala. Disamping itu, Bank juga melakukan uji keamanan berdasarkan skenario table top dan cyber range exercise pada pelaksanaan live operasional DRC</t>
  </si>
  <si>
    <t>Bank telah membentuk tim Keamanan Sistem Informasi, bank sudah membentuk Tim Tanggap Insiden Siber</t>
  </si>
  <si>
    <t>SK No. 214 /Dir/DMR-MROL/SK/2024 tanggal 21 Oktober 2024 tentang Tim Tanggap Insiden Siber PT Bank Sumut</t>
  </si>
  <si>
    <t>Hasil Penilaian terkait Keamanan Siber Bank Sumut</t>
  </si>
  <si>
    <t>Peringkat Tingkat Risiko terkait
Keamanan Siber</t>
  </si>
  <si>
    <t>Laporan sosialisasi
Campaign Siber
Media Sosial</t>
  </si>
  <si>
    <t>Melakukan Sosialisasi</t>
  </si>
  <si>
    <t>nilai &lt; 2</t>
  </si>
  <si>
    <r>
      <t xml:space="preserve">Secara umum Bank Sumut sudah memiliki pedoman dalam penerapan manajemen risiko terkait ketahanan dan kemanan siber dan terus akan dilakukan evaluasi/kaji ulang sesuai dengan keperluannya, selain itu juga telah mengimplementasikan beberapa infrastruktur seperti </t>
    </r>
    <r>
      <rPr>
        <i/>
        <sz val="10"/>
        <rFont val="Cambria"/>
        <family val="1"/>
      </rPr>
      <t>firewall</t>
    </r>
    <r>
      <rPr>
        <sz val="10"/>
        <rFont val="Cambria"/>
        <family val="1"/>
      </rPr>
      <t xml:space="preserve">, </t>
    </r>
    <r>
      <rPr>
        <i/>
        <sz val="10"/>
        <rFont val="Cambria"/>
        <family val="1"/>
      </rPr>
      <t>antispam, network VPN</t>
    </r>
    <r>
      <rPr>
        <sz val="10"/>
        <rFont val="Cambria"/>
        <family val="1"/>
      </rPr>
      <t xml:space="preserve"> dan lain-lain untuk pengamanan terhadap adanya serangan (</t>
    </r>
    <r>
      <rPr>
        <i/>
        <sz val="10"/>
        <rFont val="Cambria"/>
        <family val="1"/>
      </rPr>
      <t>security control</t>
    </r>
    <r>
      <rPr>
        <sz val="10"/>
        <rFont val="Cambria"/>
        <family val="1"/>
      </rPr>
      <t xml:space="preserve">). Bank sudah memiliki </t>
    </r>
    <r>
      <rPr>
        <i/>
        <sz val="10"/>
        <rFont val="Cambria"/>
        <family val="1"/>
      </rPr>
      <t xml:space="preserve">Security Operation Center </t>
    </r>
    <r>
      <rPr>
        <sz val="10"/>
        <rFont val="Cambria"/>
        <family val="1"/>
      </rPr>
      <t>(SOC + SIEM) untuk memonitoring adanya ancaman siber yang menyerang ke sistem aplikasi Bank.</t>
    </r>
  </si>
  <si>
    <t>Tahun            : 2025</t>
  </si>
  <si>
    <t>Layanan perbankan untuk nasabah seperti mobile banking, ATM, internet banking, Sumut Link</t>
  </si>
  <si>
    <t>Hanya menerbitkan kartu debit dan e Money yang bekerja sama dengan pihak ketiga</t>
  </si>
  <si>
    <t>Produk dana pihak ketiga,
pembiayaan, kredit, tresury, sistem pembayaran dll</t>
  </si>
  <si>
    <t>DMR, SEKPER, DTI, DSDM</t>
  </si>
  <si>
    <t>Vidio edukasi yang diupload pada instagram Bank Sumutnews dan melakukan evaluasi pemahaman melalui aplikasi Learning Management System (LMS)</t>
  </si>
  <si>
    <t>Meningkatkan pemahaman melalui aplikasi Learning Management System (LMS)</t>
  </si>
  <si>
    <t>Divisi Manajemen Risiko menerbitkan ketentuan mengenai katahanan dan keamanan siber serta menetapkan Risk Appetite Statement (RAS) dan melakukan pemantauan terhadap RAS dimaksud</t>
  </si>
  <si>
    <t>SMKI
SK/SE Pengelolaan Aset Teknologi Informasi</t>
  </si>
  <si>
    <t>Diatur dalam ketentuan Sistem Manajemen Keamanan Informasi (SMKI)</t>
  </si>
  <si>
    <t>saat ini masih diatur secara umum dalam ketentuan Pengadaan Barang dan Jasa</t>
  </si>
  <si>
    <t>Diatur dalam ketentuan Sistem Manajemen Keamanan Informasi (SMKI) dan secara umum diatur dalam ketentuan Pengadaan Barang dan Jasa</t>
  </si>
  <si>
    <t xml:space="preserve">Melaksanakan sosialisasi dan diklat untuk menambah kompentensi SDM dibidang siber menambahkan standar kompetensi, sertifikasi </t>
  </si>
  <si>
    <t>Ketetuan SMKI
Ketetuan Manajemen Risiko Siber
Laporan Simulasi Penanganan insiden siber dengan metode table top dan hasil evaluasi pemahaman risiko siber</t>
  </si>
  <si>
    <t>Sudah dilakukan dengan metode test atau ujian yang diikuti oleh seluruh level pegawai</t>
  </si>
  <si>
    <t>Peringkat Tingkat Risiko Keamanan Siber</t>
  </si>
  <si>
    <r>
      <t xml:space="preserve">Peringkat Tingkat Risiko terkait Keamanan Siber dinilai </t>
    </r>
    <r>
      <rPr>
        <b/>
        <i/>
        <sz val="11"/>
        <rFont val="Cambria"/>
        <family val="1"/>
      </rPr>
      <t>Low To Moderate,</t>
    </r>
    <r>
      <rPr>
        <sz val="11"/>
        <rFont val="Cambria"/>
        <family val="1"/>
      </rPr>
      <t xml:space="preserve">  Dengan mempertimbangkan aktivitas bisnis yang dilakukan Bank, kemungkinan kerugian yang dihadapi Bank dari risiko inheren terkait keamanan siber tergolong rendah selama periode waktu tertentu pada masa depan, karena penggunaan TI yang terbatas, saat ini bank sumut belum merupakan bank digital. Sehingga kerentanan terhadap siber dinilai </t>
    </r>
    <r>
      <rPr>
        <b/>
        <sz val="11"/>
        <rFont val="Cambria"/>
        <family val="1"/>
      </rPr>
      <t>rendah</t>
    </r>
    <r>
      <rPr>
        <sz val="11"/>
        <rFont val="Cambria"/>
        <family val="1"/>
      </rPr>
      <t xml:space="preserve">, hal ini ditunjukkan dari risiko inheren bank dimana masih menggunakan full outsource untuk core banking dan core switching dengan kompleksitas rendah, produk bank yang disalurkan menggunakan TI masih terbatas, turn over pegawai yang menangani TI/keamanan Siber masih rendah, untuk presentase insiden siber sendiri masih berdampak hanya pada intern bank. Bank juga sudah memiliki pedoman dalam penerapan manajemen risiko terkait ketahanan dan keamanan siber serta melengkapi dengan aplikasi firewall, antispam, Security Operation Center (SOC+SIEM), dll untuk security control 
</t>
    </r>
  </si>
  <si>
    <t>1. Peraturan PT Bank Sumut No. 008/Dir/DMR-MROL/PBS/2025 tanggal 29 Desember 2025 perihal Pedoman Penerapan Ketahahan dan Keamaman Siber
2. Surat Keputusan Direksi No. 278/Dir/DMR-MROL/SK/2025 tanggal 29 Desember 2025 tentang Pengujian Keamanan Siber PT Bank Sumut;
3. Surat Kepautusan Direksi No. 279/Dir/DMR-MROL/SK/2025 tanggal 29 Desember 2025 tentang Manajemen Proses Penanggulangan dan Pemulihan Insiden Siber PT Bank Sumut
4. Surat Edaran Direksi No. 138/Dir/DMR-MROL/SE/2025 tanggal 29 Desember 2025 perihal Petunjuk Pelaksanaan Pengujian Keamaman Siber;
5. Surat Edaran Direksi No. 139/DIr/DMR-MROL/SE/2025 tanggal 29 Desember 2025 perihal Pelaksanaan Manajemen Proses Penanggulangan dan Pemulihan Insiden Siber pada PT Bank Sumut</t>
  </si>
  <si>
    <t>1. Peraturan PT Bank Sumut No. 008/Dir/DMR-MROL/PBS/2025 tanggal 29 Desember 2025 perihal Pedoman Penerapan Ketahahan dan Keamaman Siber
2. Surat Keputusan Direksi No. 278/Dir/DMR-MROL/SK/2025 tanggal 29 Desember 2025 tentang Pengujian Keamanan Siber PT Bank Sumut;
3. Surat Kepautusan Direksi No. 279/Dir/DMR-MROL/SK/2025 tanggal 29 Desember 2025 tentang Manajemen Proses Penanggulangan dan Pemulihan Insiden Siber PT Bank Sumut
4. Surat Edaran Direksi No. 138/Dir/DMR-MROL/SE/2025 tanggal 29 Desember 2025 perihal Petunjuk Pelaksanaan Pengujian Keamaman Siber;
5. Surat Edaran Direksi No. 139/DIr/DMR-MROL/SE/2025 tanggal 29 Desember 2025 perihal Pelaksanaan Manajemen Proses Penanggulangan dan Pemulihan Insiden Siber pada PT Bank Sumut
5. Profil Jabatan Divisi Manajemen Risiko Bidang Manajemen Risiko Operasional
6. Struktur Organisasi Divisi Teknologi Informasi
7. SK No. 214 /Dir/DMR-MROL/SK/2024 tanggal 21 Oktober 2024 tentang Tim Tanggap Insiden Siber PT Bank Sumut</t>
  </si>
  <si>
    <t>'1. Peraturan PT Bank Sumut No. 008/Dir/DMR-MROL/PBS/2025 tanggal 29 Desember 2025 perihal Pedoman Penerapan Ketahahan dan Keamaman Siber
2. Surat Keputusan Direksi No. 278/Dir/DMR-MROL/SK/2025 tanggal 29 Desember 2025 tentang Pengujian Keamanan Siber PT Bank Sumut;
3. Surat Kepautusan Direksi No. 279/Dir/DMR-MROL/SK/2025 tanggal 29 Desember 2025 tentang Manajemen Proses Penanggulangan dan Pemulihan Insiden Siber PT Bank Sumut
4. Surat Edaran Direksi No. 138/Dir/DMR-MROL/SE/2025 tanggal 29 Desember 2025 perihal Petunjuk Pelaksanaan Pengujian Keamaman Siber;
5. Surat Edaran Direksi No. 139/DIr/DMR-MROL/SE/2025 tanggal 29 Desember 2025 perihal Pelaksanaan Manajemen Proses Penanggulangan dan Pemulihan Insiden Siber pada PT Bank Sumut
5. Profil Jabatan Divisi Manajemen Risiko Bidang Manajemen Risiko Operasional
6. Struktur Organisasi Divisi Teknologi Informasi
7. SK No. 214 /Dir/DMR-MROL/SK/2024 tanggal 21 Oktober 2024 tentang Tim Tanggap Insiden Siber PT Bank Sumut</t>
  </si>
  <si>
    <t xml:space="preserve">1. Peraturan PT Bank Sumut No. 008/Dir/DMR-MROL/PBS/2025 tanggal 29 Desember 2025 perihal Pedoman Penerapan Ketahahan dan Keamaman Siber
2. Surat Keputusan Direksi No. 278/Dir/DMR-MROL/SK/2025 tanggal 29 Desember 2025 tentang Pengujian Keamanan Siber PT Bank Sumut;
3. Surat Kepautusan Direksi No. 279/Dir/DMR-MROL/SK/2025 tanggal 29 Desember 2025 tentang Manajemen Proses Penanggulangan dan Pemulihan Insiden Siber PT Bank Sumut
4. Surat Edaran Direksi No. 138/Dir/DMR-MROL/SE/2025 tanggal 29 Desember 2025 perihal Petunjuk Pelaksanaan Pengujian Keamaman Siber;
5. Surat Edaran Direksi No. 139/DIr/DMR-MROL/SE/2025 tanggal 29 Desember 2025 perihal Pelaksanaan Manajemen Proses Penanggulangan dan Pemulihan Insiden Siber pada PT Bank Sumut
</t>
  </si>
  <si>
    <t>1. Peraturan PT Bank Sumut No. 008/Dir/DMR-MROL/PBS/2025 tanggal 29 Desember 2025 perihal Pedoman Penerapan Ketahahan dan Keamaman Siber
2. Surat Keputusan Direksi No. 278/Dir/DMR-MROL/SK/2025 tanggal 29 Desember 2025 tentang Pengujian Keamanan Siber PT Bank Sumut;
3. Surat Kepautusan Direksi No. 279/Dir/DMR-MROL/SK/2025 tanggal 29 Desember 2025 tentang Manajemen Proses Penanggulangan dan Pemulihan Insiden Siber PT Bank Sumut
4. Surat Edaran Direksi No. 138/Dir/DMR-MROL/SE/2025 tanggal 29 Desember 2025 perihal Petunjuk Pelaksanaan Pengujian Keamaman Siber;
5. Surat Edaran Direksi No. 139/DIr/DMR-MROL/SE/2025 tanggal 29 Desember 2025 perihal Pelaksanaan Manajemen Proses Penanggulangan dan Pemulihan Insiden Siber pada PT Bank Sumut
6. Monitoring Risk Appetite Statement</t>
  </si>
  <si>
    <t>'1. Peraturan PT Bank Sumut No. 008/Dir/DMR-MROL/PBS/2025 tanggal 29 Desember 2025 perihal Pedoman Penerapan Ketahahan dan Keamaman Siber
2. Surat Keputusan Direksi No. 278/Dir/DMR-MROL/SK/2025 tanggal 29 Desember 2025 tentang Pengujian Keamanan Siber PT Bank Sumut;
3. Surat Kepautusan Direksi No. 279/Dir/DMR-MROL/SK/2025 tanggal 29 Desember 2025 tentang Manajemen Proses Penanggulangan dan Pemulihan Insiden Siber PT Bank Sumut
4. Surat Edaran Direksi No. 138/Dir/DMR-MROL/SE/2025 tanggal 29 Desember 2025 perihal Petunjuk Pelaksanaan Pengujian Keamaman Siber;
5. Surat Edaran Direksi No. 139/DIr/DMR-MROL/SE/2025 tanggal 29 Desember 2025 perihal Pelaksanaan Manajemen Proses Penanggulangan dan Pemulihan Insiden Siber pada PT Bank Sumut
6. SK No. 147/Dir/DMR-MRO/SK/2023 tentang Insiden Teknologi Informasi PT Bank Sumut
7. SE No. 088/Dir/DMR-MRO/SE/2023 tanggal 16 Oktober 2023 perihal Tata Cara Pelaporan Kejadian Kritis, Penyalahgunaan dan atau Kejahatan Dalam Penyelenggaraan Teknologi Informasi PT Bank Sumut</t>
  </si>
  <si>
    <t>ketentuan Lama
'1. SK No. 218/Dir/DMR-MRO/SK/2023 tanggal 29 Desember 2023 tentang Ketahanan dan Keamanan Siber
2. SE No. 130/Dir/DMR-MRO/SE/2023 tanggal 29 Desember 2023 perihal Ketentuan Pelaksanaan Mengenai Ketahanan dan Keamanan Siber PT Bank Sumu
Ketentuan baru
'1. Peraturan PT Bank Sumut No. 008/Dir/DMR-MROL/PBS/2025 tanggal 29 Desember 2025 perihal Pedoman Penerapan Ketahahan dan Keamaman Siber
2. Surat Keputusan Direksi No. 278/Dir/DMR-MROL/SK/2025 tanggal 29 Desember 2025 tentang Pengujian Keamanan Siber PT Bank Sumut;
3. Surat Kepautusan Direksi No. 279/Dir/DMR-MROL/SK/2025 tanggal 29 Desember 2025 tentang Manajemen Proses Penanggulangan dan Pemulihan Insiden Siber PT Bank Sumut
4. Surat Edaran Direksi No. 138/Dir/DMR-MROL/SE/2025 tanggal 29 Desember 2025 perihal Petunjuk Pelaksanaan Pengujian Keamaman Siber;
5. Surat Edaran Direksi No. 139/DIr/DMR-MROL/SE/2025 tanggal 29 Desember 2025 perihal Pelaksanaan Manajemen Proses Penanggulangan dan Pemulihan Insiden Siber pada PT Bank Sumut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</si>
</sst>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76" formatCode="_(* #,##0_);_(* \(#,##0\);_(* &quot;-&quot;??_);_(@_)"/>
    <numFmt numFmtId="177" formatCode="_(* #,##0.00_);_(* \(#,##0.00\);_(* &quot;-&quot;_);_(@_)"/>
  </numFmts>
  <fonts count="59">
    <font>
      <sz val="10"/>
      <name val="Arial"/>
    </font>
    <font>
      <sz val="10"/>
      <name val="Cambria"/>
      <family val="1"/>
    </font>
    <font>
      <b/>
      <sz val="14"/>
      <name val="Cambria"/>
      <family val="1"/>
    </font>
    <font>
      <sz val="14"/>
      <name val="Cambria"/>
      <family val="1"/>
    </font>
    <font>
      <b/>
      <sz val="12"/>
      <name val="Cambria"/>
      <family val="1"/>
    </font>
    <font>
      <sz val="12"/>
      <name val="Cambria"/>
      <family val="1"/>
    </font>
    <font>
      <b/>
      <sz val="16"/>
      <name val="Cambria"/>
      <family val="1"/>
    </font>
    <font>
      <b/>
      <sz val="14"/>
      <name val="Arial"/>
      <family val="2"/>
    </font>
    <font>
      <b/>
      <sz val="10"/>
      <name val="Arial"/>
      <family val="2"/>
    </font>
    <font>
      <b/>
      <sz val="10"/>
      <color indexed="9"/>
      <name val="Arial"/>
      <family val="2"/>
    </font>
    <font>
      <b/>
      <i/>
      <sz val="10"/>
      <name val="Arial"/>
      <family val="2"/>
    </font>
    <font>
      <b/>
      <i/>
      <sz val="10"/>
      <color indexed="57"/>
      <name val="Arial"/>
      <family val="2"/>
    </font>
    <font>
      <i/>
      <sz val="10"/>
      <name val="Arial"/>
      <family val="2"/>
    </font>
    <font>
      <b/>
      <i/>
      <sz val="10"/>
      <color indexed="12"/>
      <name val="Arial"/>
      <family val="2"/>
    </font>
    <font>
      <b/>
      <sz val="12"/>
      <name val="Arial"/>
      <family val="2"/>
    </font>
    <font>
      <b/>
      <sz val="10"/>
      <color indexed="10"/>
      <name val="Arial"/>
      <family val="2"/>
    </font>
    <font>
      <sz val="9"/>
      <name val="Arial"/>
      <family val="2"/>
    </font>
    <font>
      <sz val="10"/>
      <color indexed="8"/>
      <name val="Arial"/>
      <family val="2"/>
    </font>
    <font>
      <sz val="10"/>
      <color indexed="8"/>
      <name val="Verdana"/>
      <family val="2"/>
    </font>
    <font>
      <sz val="10"/>
      <name val="Verdana"/>
      <family val="2"/>
    </font>
    <font>
      <sz val="10"/>
      <color indexed="10"/>
      <name val="Arial"/>
      <family val="2"/>
    </font>
    <font>
      <sz val="10"/>
      <color indexed="10"/>
      <name val="Verdana"/>
      <family val="2"/>
    </font>
    <font>
      <sz val="9"/>
      <name val="Verdana"/>
      <family val="2"/>
    </font>
    <font>
      <sz val="9"/>
      <color indexed="18"/>
      <name val="Verdana"/>
      <family val="2"/>
    </font>
    <font>
      <b/>
      <sz val="10"/>
      <color indexed="10"/>
      <name val="Verdana"/>
      <family val="2"/>
    </font>
    <font>
      <sz val="11"/>
      <color indexed="8"/>
      <name val="Calibri"/>
      <family val="2"/>
    </font>
    <font>
      <b/>
      <sz val="11"/>
      <color indexed="52"/>
      <name val="Calibri"/>
      <family val="2"/>
    </font>
    <font>
      <sz val="11"/>
      <color indexed="9"/>
      <name val="Calibri"/>
      <family val="2"/>
    </font>
    <font>
      <sz val="11"/>
      <color indexed="20"/>
      <name val="Calibri"/>
      <family val="2"/>
    </font>
    <font>
      <sz val="12"/>
      <name val="Helv"/>
    </font>
    <font>
      <i/>
      <sz val="11"/>
      <color indexed="23"/>
      <name val="Calibri"/>
      <family val="2"/>
    </font>
    <font>
      <sz val="11"/>
      <color indexed="62"/>
      <name val="Calibri"/>
      <family val="2"/>
    </font>
    <font>
      <u/>
      <sz val="10"/>
      <color indexed="12"/>
      <name val="Arial"/>
      <family val="2"/>
    </font>
    <font>
      <b/>
      <sz val="18"/>
      <color indexed="56"/>
      <name val="Cambria"/>
      <family val="1"/>
    </font>
    <font>
      <b/>
      <sz val="11"/>
      <color indexed="56"/>
      <name val="Calibri"/>
      <family val="2"/>
    </font>
    <font>
      <sz val="11"/>
      <color indexed="17"/>
      <name val="Calibri"/>
      <family val="2"/>
    </font>
    <font>
      <sz val="11"/>
      <color indexed="52"/>
      <name val="Calibri"/>
      <family val="2"/>
    </font>
    <font>
      <b/>
      <sz val="11"/>
      <color indexed="8"/>
      <name val="Calibri"/>
      <family val="2"/>
    </font>
    <font>
      <b/>
      <sz val="11"/>
      <color indexed="63"/>
      <name val="Calibri"/>
      <family val="2"/>
    </font>
    <font>
      <b/>
      <sz val="15"/>
      <color indexed="56"/>
      <name val="Calibri"/>
      <family val="2"/>
    </font>
    <font>
      <b/>
      <sz val="13"/>
      <color indexed="56"/>
      <name val="Calibri"/>
      <family val="2"/>
    </font>
    <font>
      <sz val="11"/>
      <color indexed="60"/>
      <name val="Calibri"/>
      <family val="2"/>
    </font>
    <font>
      <u/>
      <sz val="12"/>
      <color indexed="12"/>
      <name val="Arial"/>
      <family val="2"/>
    </font>
    <font>
      <b/>
      <sz val="11"/>
      <color indexed="9"/>
      <name val="Calibri"/>
      <family val="2"/>
    </font>
    <font>
      <sz val="11"/>
      <color indexed="10"/>
      <name val="Calibri"/>
      <family val="2"/>
    </font>
    <font>
      <i/>
      <u/>
      <sz val="10"/>
      <name val="Arial"/>
      <family val="2"/>
    </font>
    <font>
      <sz val="10"/>
      <name val="Arial"/>
      <family val="2"/>
    </font>
    <font>
      <sz val="11"/>
      <name val="Cambria"/>
      <family val="1"/>
    </font>
    <font>
      <sz val="10"/>
      <name val="Arial"/>
      <family val="2"/>
    </font>
    <font>
      <i/>
      <sz val="10"/>
      <name val="Cambria"/>
      <family val="1"/>
    </font>
    <font>
      <b/>
      <sz val="10"/>
      <name val="Arial"/>
      <family val="2"/>
    </font>
    <font>
      <b/>
      <i/>
      <sz val="11"/>
      <name val="Cambria"/>
      <family val="1"/>
    </font>
    <font>
      <b/>
      <sz val="11"/>
      <name val="Cambria"/>
      <family val="1"/>
    </font>
    <font>
      <sz val="11"/>
      <name val="Arial"/>
      <family val="2"/>
    </font>
    <font>
      <b/>
      <i/>
      <sz val="11"/>
      <color indexed="57"/>
      <name val="Arial"/>
      <family val="2"/>
    </font>
    <font>
      <b/>
      <sz val="11"/>
      <name val="Arial"/>
      <family val="2"/>
    </font>
    <font>
      <b/>
      <i/>
      <sz val="11"/>
      <color indexed="12"/>
      <name val="Arial"/>
      <family val="2"/>
    </font>
    <font>
      <b/>
      <sz val="10"/>
      <color theme="1"/>
      <name val="Arial"/>
      <family val="2"/>
    </font>
    <font>
      <b/>
      <sz val="11"/>
      <color theme="8"/>
      <name val="Cambria"/>
      <family val="1"/>
    </font>
  </fonts>
  <fills count="29">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17"/>
        <bgColor indexed="64"/>
      </patternFill>
    </fill>
    <fill>
      <patternFill patternType="solid">
        <fgColor indexed="9"/>
        <bgColor indexed="64"/>
      </patternFill>
    </fill>
    <fill>
      <patternFill patternType="solid">
        <fgColor indexed="13"/>
        <bgColor indexed="64"/>
      </patternFill>
    </fill>
    <fill>
      <patternFill patternType="solid">
        <fgColor theme="0"/>
        <bgColor indexed="64"/>
      </patternFill>
    </fill>
    <fill>
      <patternFill patternType="solid">
        <fgColor rgb="FFFFFF00"/>
        <bgColor indexed="64"/>
      </patternFill>
    </fill>
  </fills>
  <borders count="4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top/>
      <bottom style="medium">
        <color indexed="64"/>
      </bottom>
      <diagonal/>
    </border>
    <border>
      <left/>
      <right style="medium">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82">
    <xf numFmtId="0" fontId="0" fillId="0" borderId="0"/>
    <xf numFmtId="0" fontId="25" fillId="2" borderId="0" applyNumberFormat="0" applyBorder="0" applyAlignment="0" applyProtection="0"/>
    <xf numFmtId="0" fontId="25" fillId="3" borderId="0" applyNumberFormat="0" applyBorder="0" applyAlignment="0" applyProtection="0"/>
    <xf numFmtId="0" fontId="25" fillId="4" borderId="0" applyNumberFormat="0" applyBorder="0" applyAlignment="0" applyProtection="0"/>
    <xf numFmtId="0" fontId="25" fillId="5" borderId="0" applyNumberFormat="0" applyBorder="0" applyAlignment="0" applyProtection="0"/>
    <xf numFmtId="0" fontId="25" fillId="6" borderId="0" applyNumberFormat="0" applyBorder="0" applyAlignment="0" applyProtection="0"/>
    <xf numFmtId="0" fontId="25" fillId="7" borderId="0" applyNumberFormat="0" applyBorder="0" applyAlignment="0" applyProtection="0"/>
    <xf numFmtId="0" fontId="25" fillId="8" borderId="0" applyNumberFormat="0" applyBorder="0" applyAlignment="0" applyProtection="0"/>
    <xf numFmtId="0" fontId="25" fillId="9" borderId="0" applyNumberFormat="0" applyBorder="0" applyAlignment="0" applyProtection="0"/>
    <xf numFmtId="0" fontId="25" fillId="10" borderId="0" applyNumberFormat="0" applyBorder="0" applyAlignment="0" applyProtection="0"/>
    <xf numFmtId="0" fontId="25" fillId="5" borderId="0" applyNumberFormat="0" applyBorder="0" applyAlignment="0" applyProtection="0"/>
    <xf numFmtId="0" fontId="25" fillId="8" borderId="0" applyNumberFormat="0" applyBorder="0" applyAlignment="0" applyProtection="0"/>
    <xf numFmtId="0" fontId="25" fillId="11" borderId="0" applyNumberFormat="0" applyBorder="0" applyAlignment="0" applyProtection="0"/>
    <xf numFmtId="0" fontId="27" fillId="12"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3" borderId="0" applyNumberFormat="0" applyBorder="0" applyAlignment="0" applyProtection="0"/>
    <xf numFmtId="0" fontId="27" fillId="14" borderId="0" applyNumberFormat="0" applyBorder="0" applyAlignment="0" applyProtection="0"/>
    <xf numFmtId="0" fontId="27" fillId="15" borderId="0" applyNumberFormat="0" applyBorder="0" applyAlignment="0" applyProtection="0"/>
    <xf numFmtId="0" fontId="27" fillId="16"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27" fillId="13" borderId="0" applyNumberFormat="0" applyBorder="0" applyAlignment="0" applyProtection="0"/>
    <xf numFmtId="0" fontId="27" fillId="14" borderId="0" applyNumberFormat="0" applyBorder="0" applyAlignment="0" applyProtection="0"/>
    <xf numFmtId="0" fontId="27" fillId="19" borderId="0" applyNumberFormat="0" applyBorder="0" applyAlignment="0" applyProtection="0"/>
    <xf numFmtId="0" fontId="28" fillId="3" borderId="0" applyNumberFormat="0" applyBorder="0" applyAlignment="0" applyProtection="0"/>
    <xf numFmtId="0" fontId="26" fillId="20" borderId="1" applyNumberFormat="0" applyAlignment="0" applyProtection="0"/>
    <xf numFmtId="0" fontId="30" fillId="0" borderId="0" applyNumberFormat="0" applyFill="0" applyBorder="0" applyAlignment="0" applyProtection="0">
      <alignment vertical="center"/>
    </xf>
    <xf numFmtId="0" fontId="43" fillId="21" borderId="2" applyNumberFormat="0" applyAlignment="0" applyProtection="0"/>
    <xf numFmtId="43" fontId="46" fillId="0" borderId="0" applyFont="0" applyFill="0" applyBorder="0" applyAlignment="0" applyProtection="0"/>
    <xf numFmtId="41" fontId="46" fillId="0" borderId="0" applyFont="0" applyFill="0" applyBorder="0" applyAlignment="0" applyProtection="0"/>
    <xf numFmtId="41" fontId="46" fillId="0" borderId="0" applyFont="0" applyFill="0" applyBorder="0" applyAlignment="0" applyProtection="0"/>
    <xf numFmtId="41" fontId="46" fillId="0" borderId="0" applyFont="0" applyFill="0" applyBorder="0" applyAlignment="0" applyProtection="0"/>
    <xf numFmtId="41"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0" fontId="30" fillId="0" borderId="0" applyNumberFormat="0" applyFill="0" applyBorder="0" applyAlignment="0" applyProtection="0"/>
    <xf numFmtId="0" fontId="35" fillId="4" borderId="0" applyNumberFormat="0" applyBorder="0" applyAlignment="0" applyProtection="0"/>
    <xf numFmtId="0" fontId="39" fillId="0" borderId="3" applyNumberFormat="0" applyFill="0" applyAlignment="0" applyProtection="0"/>
    <xf numFmtId="0" fontId="40" fillId="0" borderId="4" applyNumberFormat="0" applyFill="0" applyAlignment="0" applyProtection="0"/>
    <xf numFmtId="0" fontId="34" fillId="0" borderId="5" applyNumberFormat="0" applyFill="0" applyAlignment="0" applyProtection="0"/>
    <xf numFmtId="0" fontId="34" fillId="0" borderId="0" applyNumberFormat="0" applyFill="0" applyBorder="0" applyAlignment="0" applyProtection="0"/>
    <xf numFmtId="0" fontId="3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31" fillId="7" borderId="1" applyNumberFormat="0" applyAlignment="0" applyProtection="0"/>
    <xf numFmtId="0" fontId="36" fillId="0" borderId="6" applyNumberFormat="0" applyFill="0" applyAlignment="0" applyProtection="0"/>
    <xf numFmtId="0" fontId="41" fillId="22"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5" fillId="0" borderId="0"/>
    <xf numFmtId="0" fontId="25" fillId="0" borderId="0"/>
    <xf numFmtId="0" fontId="25" fillId="0" borderId="0"/>
    <xf numFmtId="0" fontId="46" fillId="0" borderId="0">
      <alignment wrapText="1"/>
    </xf>
    <xf numFmtId="0" fontId="29" fillId="0" borderId="0"/>
    <xf numFmtId="0" fontId="25" fillId="0" borderId="0"/>
    <xf numFmtId="0" fontId="46" fillId="0" borderId="0"/>
    <xf numFmtId="0" fontId="46" fillId="0" borderId="0"/>
    <xf numFmtId="0" fontId="46" fillId="0" borderId="0"/>
    <xf numFmtId="0" fontId="46" fillId="0" borderId="0"/>
    <xf numFmtId="0" fontId="46" fillId="0" borderId="0"/>
    <xf numFmtId="0" fontId="46" fillId="0" borderId="0"/>
    <xf numFmtId="0" fontId="25" fillId="0" borderId="0"/>
    <xf numFmtId="0" fontId="25" fillId="0" borderId="0"/>
    <xf numFmtId="0" fontId="46" fillId="23" borderId="7" applyNumberFormat="0" applyFont="0" applyAlignment="0" applyProtection="0"/>
    <xf numFmtId="0" fontId="38" fillId="20" borderId="8" applyNumberFormat="0" applyAlignment="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0" fontId="33" fillId="0" borderId="0" applyNumberFormat="0" applyFill="0" applyBorder="0" applyAlignment="0" applyProtection="0"/>
    <xf numFmtId="0" fontId="37" fillId="0" borderId="9" applyNumberFormat="0" applyFill="0" applyAlignment="0" applyProtection="0"/>
    <xf numFmtId="0" fontId="44" fillId="0" borderId="0" applyNumberFormat="0" applyFill="0" applyBorder="0" applyAlignment="0" applyProtection="0"/>
  </cellStyleXfs>
  <cellXfs count="231">
    <xf numFmtId="0" fontId="0" fillId="0" borderId="0" xfId="0"/>
    <xf numFmtId="0" fontId="1" fillId="0" borderId="0" xfId="0" applyFont="1"/>
    <xf numFmtId="0" fontId="0" fillId="0" borderId="0" xfId="0" applyFont="1" applyAlignment="1">
      <alignment vertical="center"/>
    </xf>
    <xf numFmtId="0" fontId="0" fillId="0" borderId="0" xfId="0" applyFont="1" applyAlignment="1"/>
    <xf numFmtId="0" fontId="0" fillId="0" borderId="0" xfId="0" applyFont="1" applyAlignment="1">
      <alignment wrapText="1"/>
    </xf>
    <xf numFmtId="0" fontId="9" fillId="24" borderId="10" xfId="0" applyFont="1" applyFill="1" applyBorder="1" applyAlignment="1">
      <alignment horizontal="center" vertical="center" wrapText="1"/>
    </xf>
    <xf numFmtId="0" fontId="8" fillId="25" borderId="11" xfId="0" applyNumberFormat="1" applyFont="1" applyFill="1" applyBorder="1" applyAlignment="1">
      <alignment horizontal="center" vertical="center" wrapText="1"/>
    </xf>
    <xf numFmtId="4" fontId="0" fillId="25" borderId="12" xfId="0" applyNumberFormat="1" applyFont="1" applyFill="1" applyBorder="1" applyAlignment="1">
      <alignment horizontal="center" vertical="center"/>
    </xf>
    <xf numFmtId="0" fontId="11" fillId="25" borderId="13" xfId="0" applyFont="1" applyFill="1" applyBorder="1" applyAlignment="1">
      <alignment horizontal="center" vertical="center"/>
    </xf>
    <xf numFmtId="0" fontId="8" fillId="25" borderId="14" xfId="0" applyNumberFormat="1" applyFont="1" applyFill="1" applyBorder="1" applyAlignment="1">
      <alignment horizontal="center" vertical="center" wrapText="1"/>
    </xf>
    <xf numFmtId="4" fontId="0" fillId="25" borderId="15" xfId="0" applyNumberFormat="1" applyFont="1" applyFill="1" applyBorder="1" applyAlignment="1">
      <alignment horizontal="center" vertical="center"/>
    </xf>
    <xf numFmtId="0" fontId="11" fillId="25" borderId="16" xfId="0" applyFont="1" applyFill="1" applyBorder="1" applyAlignment="1">
      <alignment horizontal="center" vertical="center"/>
    </xf>
    <xf numFmtId="0" fontId="8" fillId="25" borderId="17" xfId="0" applyNumberFormat="1" applyFont="1" applyFill="1" applyBorder="1" applyAlignment="1">
      <alignment horizontal="center" vertical="center" wrapText="1"/>
    </xf>
    <xf numFmtId="4" fontId="0" fillId="25" borderId="18" xfId="0" applyNumberFormat="1" applyFont="1" applyFill="1" applyBorder="1" applyAlignment="1">
      <alignment horizontal="center" vertical="center"/>
    </xf>
    <xf numFmtId="0" fontId="11" fillId="25" borderId="19" xfId="0" applyFont="1" applyFill="1" applyBorder="1" applyAlignment="1">
      <alignment horizontal="center" vertical="center"/>
    </xf>
    <xf numFmtId="0" fontId="8" fillId="25" borderId="20" xfId="0" applyNumberFormat="1" applyFont="1" applyFill="1" applyBorder="1" applyAlignment="1">
      <alignment horizontal="center" vertical="center" wrapText="1"/>
    </xf>
    <xf numFmtId="0" fontId="8" fillId="25" borderId="0" xfId="0" applyNumberFormat="1" applyFont="1" applyFill="1" applyBorder="1" applyAlignment="1">
      <alignment horizontal="center" vertical="center" wrapText="1"/>
    </xf>
    <xf numFmtId="0" fontId="8" fillId="25" borderId="21" xfId="46" applyNumberFormat="1" applyFont="1" applyFill="1" applyBorder="1" applyAlignment="1" applyProtection="1">
      <alignment vertical="center" wrapText="1"/>
    </xf>
    <xf numFmtId="4" fontId="0" fillId="0" borderId="10" xfId="0" applyNumberFormat="1" applyFont="1" applyBorder="1" applyAlignment="1">
      <alignment horizontal="center" vertical="center"/>
    </xf>
    <xf numFmtId="0" fontId="13" fillId="0" borderId="10" xfId="0" applyFont="1" applyFill="1" applyBorder="1" applyAlignment="1">
      <alignment horizontal="center" vertical="center"/>
    </xf>
    <xf numFmtId="4" fontId="12" fillId="0" borderId="22" xfId="0" applyNumberFormat="1" applyFont="1" applyFill="1" applyBorder="1" applyAlignment="1">
      <alignment horizontal="center" vertical="center"/>
    </xf>
    <xf numFmtId="4" fontId="12" fillId="0" borderId="23" xfId="0" applyNumberFormat="1" applyFont="1" applyFill="1" applyBorder="1" applyAlignment="1">
      <alignment horizontal="center" vertical="center"/>
    </xf>
    <xf numFmtId="4" fontId="12" fillId="0" borderId="24" xfId="0" applyNumberFormat="1" applyFont="1" applyFill="1" applyBorder="1" applyAlignment="1">
      <alignment horizontal="center" vertical="center"/>
    </xf>
    <xf numFmtId="0" fontId="0" fillId="0" borderId="0" xfId="0" applyFill="1" applyAlignment="1">
      <alignment vertical="center"/>
    </xf>
    <xf numFmtId="0" fontId="0" fillId="0" borderId="0" xfId="0" applyAlignment="1">
      <alignment horizontal="center" vertical="center" wrapText="1"/>
    </xf>
    <xf numFmtId="0" fontId="0" fillId="0" borderId="0" xfId="0" applyAlignment="1">
      <alignment vertical="top"/>
    </xf>
    <xf numFmtId="0" fontId="0" fillId="0" borderId="0" xfId="0" applyAlignment="1">
      <alignment vertical="center"/>
    </xf>
    <xf numFmtId="0" fontId="0" fillId="0" borderId="0" xfId="0" applyNumberFormat="1" applyAlignment="1">
      <alignment horizontal="justify" vertical="top"/>
    </xf>
    <xf numFmtId="4" fontId="0" fillId="0" borderId="0" xfId="0" applyNumberFormat="1" applyFill="1" applyAlignment="1">
      <alignment vertical="center"/>
    </xf>
    <xf numFmtId="0" fontId="7" fillId="0" borderId="0" xfId="0" applyFont="1" applyAlignment="1">
      <alignment horizontal="left" vertical="center"/>
    </xf>
    <xf numFmtId="0" fontId="0" fillId="0" borderId="0" xfId="0" applyNumberFormat="1" applyFill="1" applyAlignment="1">
      <alignment horizontal="justify" vertical="top"/>
    </xf>
    <xf numFmtId="0" fontId="9" fillId="21" borderId="25" xfId="0" applyFont="1" applyFill="1" applyBorder="1" applyAlignment="1">
      <alignment horizontal="center" vertical="center" wrapText="1"/>
    </xf>
    <xf numFmtId="0" fontId="9" fillId="21" borderId="25" xfId="0" applyNumberFormat="1" applyFont="1" applyFill="1" applyBorder="1" applyAlignment="1">
      <alignment horizontal="center" vertical="center" wrapText="1"/>
    </xf>
    <xf numFmtId="0" fontId="0" fillId="0" borderId="0" xfId="0" applyFill="1" applyAlignment="1">
      <alignment horizontal="center" vertical="center" wrapText="1"/>
    </xf>
    <xf numFmtId="4" fontId="0" fillId="0" borderId="0" xfId="0" applyNumberFormat="1" applyFill="1" applyAlignment="1">
      <alignment horizontal="center" vertical="center" wrapText="1"/>
    </xf>
    <xf numFmtId="0" fontId="8" fillId="25" borderId="25" xfId="0" applyNumberFormat="1" applyFont="1" applyFill="1" applyBorder="1" applyAlignment="1">
      <alignment horizontal="center" vertical="top" wrapText="1"/>
    </xf>
    <xf numFmtId="0" fontId="0" fillId="25" borderId="25" xfId="0" applyNumberFormat="1" applyFont="1" applyFill="1" applyBorder="1" applyAlignment="1">
      <alignment horizontal="justify" vertical="top" wrapText="1"/>
    </xf>
    <xf numFmtId="0" fontId="0" fillId="0" borderId="0" xfId="0" applyFill="1" applyAlignment="1">
      <alignment vertical="top"/>
    </xf>
    <xf numFmtId="4" fontId="0" fillId="0" borderId="0" xfId="0" applyNumberFormat="1" applyFill="1" applyAlignment="1">
      <alignment vertical="top"/>
    </xf>
    <xf numFmtId="0" fontId="8" fillId="0" borderId="0" xfId="0" applyFont="1" applyAlignment="1">
      <alignment horizontal="center" vertical="center"/>
    </xf>
    <xf numFmtId="0" fontId="0" fillId="0" borderId="0" xfId="0" applyAlignment="1">
      <alignment horizontal="center" vertical="center"/>
    </xf>
    <xf numFmtId="0" fontId="0" fillId="0" borderId="0" xfId="0" applyFill="1" applyAlignment="1">
      <alignment horizontal="center" vertical="center"/>
    </xf>
    <xf numFmtId="0" fontId="14" fillId="0" borderId="0" xfId="0" applyFont="1" applyAlignment="1">
      <alignment horizontal="left" vertical="center"/>
    </xf>
    <xf numFmtId="0" fontId="8" fillId="20" borderId="25" xfId="0" applyFont="1" applyFill="1" applyBorder="1" applyAlignment="1">
      <alignment horizontal="center" vertical="center" wrapText="1"/>
    </xf>
    <xf numFmtId="0" fontId="8" fillId="20" borderId="25" xfId="0" applyNumberFormat="1" applyFont="1" applyFill="1" applyBorder="1" applyAlignment="1">
      <alignment horizontal="center" vertical="center" wrapText="1"/>
    </xf>
    <xf numFmtId="0" fontId="0" fillId="25" borderId="25" xfId="0" applyNumberFormat="1" applyFont="1" applyFill="1" applyBorder="1" applyAlignment="1">
      <alignment horizontal="center" vertical="top" wrapText="1"/>
    </xf>
    <xf numFmtId="0" fontId="0" fillId="25" borderId="25" xfId="0" applyNumberFormat="1" applyFont="1" applyFill="1" applyBorder="1" applyAlignment="1">
      <alignment horizontal="left" vertical="top" wrapText="1"/>
    </xf>
    <xf numFmtId="0" fontId="0" fillId="25" borderId="25" xfId="0" applyNumberFormat="1" applyFill="1" applyBorder="1" applyAlignment="1">
      <alignment horizontal="justify" vertical="top" wrapText="1"/>
    </xf>
    <xf numFmtId="0" fontId="15" fillId="25" borderId="25" xfId="0" applyFont="1" applyFill="1" applyBorder="1" applyAlignment="1">
      <alignment horizontal="center" vertical="center" wrapText="1"/>
    </xf>
    <xf numFmtId="0" fontId="0" fillId="25" borderId="25" xfId="0" applyFill="1" applyBorder="1" applyAlignment="1">
      <alignment horizontal="justify" vertical="top" wrapText="1"/>
    </xf>
    <xf numFmtId="10" fontId="16" fillId="25" borderId="25" xfId="0" applyNumberFormat="1" applyFont="1" applyFill="1" applyBorder="1" applyAlignment="1">
      <alignment horizontal="center" vertical="center" wrapText="1"/>
    </xf>
    <xf numFmtId="0" fontId="0" fillId="25" borderId="25" xfId="0" applyFill="1" applyBorder="1" applyAlignment="1">
      <alignment horizontal="center" vertical="center" wrapText="1"/>
    </xf>
    <xf numFmtId="10" fontId="0" fillId="25" borderId="25" xfId="0" applyNumberFormat="1" applyFont="1" applyFill="1" applyBorder="1" applyAlignment="1">
      <alignment horizontal="center" vertical="center" wrapText="1"/>
    </xf>
    <xf numFmtId="0" fontId="0" fillId="0" borderId="0" xfId="0" applyAlignment="1">
      <alignment horizontal="center" vertical="top"/>
    </xf>
    <xf numFmtId="0" fontId="0" fillId="0" borderId="0" xfId="0" applyAlignment="1">
      <alignment horizontal="left" vertical="top"/>
    </xf>
    <xf numFmtId="2" fontId="0" fillId="0" borderId="25" xfId="0" applyNumberFormat="1" applyFont="1" applyFill="1" applyBorder="1" applyAlignment="1">
      <alignment horizontal="center" vertical="center"/>
    </xf>
    <xf numFmtId="0" fontId="10" fillId="7" borderId="25" xfId="0" applyFont="1" applyFill="1" applyBorder="1" applyAlignment="1">
      <alignment horizontal="center" vertical="center" wrapText="1"/>
    </xf>
    <xf numFmtId="0" fontId="0" fillId="0" borderId="26" xfId="0" applyFont="1" applyBorder="1" applyAlignment="1">
      <alignment horizontal="center"/>
    </xf>
    <xf numFmtId="0" fontId="0" fillId="0" borderId="27" xfId="0" applyFont="1" applyBorder="1" applyAlignment="1">
      <alignment horizontal="center"/>
    </xf>
    <xf numFmtId="0" fontId="0" fillId="0" borderId="28" xfId="0" applyFont="1" applyBorder="1" applyAlignment="1">
      <alignment horizontal="center"/>
    </xf>
    <xf numFmtId="0" fontId="0" fillId="0" borderId="23" xfId="0" applyFont="1" applyBorder="1" applyAlignment="1">
      <alignment horizontal="center"/>
    </xf>
    <xf numFmtId="0" fontId="0" fillId="0" borderId="29" xfId="0" applyFont="1" applyBorder="1" applyAlignment="1">
      <alignment horizontal="center"/>
    </xf>
    <xf numFmtId="0" fontId="0" fillId="0" borderId="30" xfId="0" applyFont="1" applyBorder="1" applyAlignment="1">
      <alignment horizontal="center"/>
    </xf>
    <xf numFmtId="0" fontId="0" fillId="0" borderId="31" xfId="0" applyFont="1" applyBorder="1" applyAlignment="1">
      <alignment horizontal="center"/>
    </xf>
    <xf numFmtId="0" fontId="0" fillId="0" borderId="24" xfId="0" applyFont="1" applyBorder="1" applyAlignment="1">
      <alignment horizontal="center"/>
    </xf>
    <xf numFmtId="0" fontId="14" fillId="0" borderId="0" xfId="0" applyFont="1" applyAlignment="1">
      <alignment vertical="center"/>
    </xf>
    <xf numFmtId="0" fontId="0" fillId="25" borderId="25" xfId="0" applyNumberFormat="1" applyFont="1" applyFill="1" applyBorder="1" applyAlignment="1">
      <alignment horizontal="center" vertical="center" wrapText="1"/>
    </xf>
    <xf numFmtId="0" fontId="8" fillId="25" borderId="32" xfId="0" applyFont="1" applyFill="1" applyBorder="1" applyAlignment="1">
      <alignment horizontal="center" vertical="center" wrapText="1"/>
    </xf>
    <xf numFmtId="0" fontId="4" fillId="0" borderId="23" xfId="0" applyFont="1" applyBorder="1" applyAlignment="1">
      <alignment vertical="top"/>
    </xf>
    <xf numFmtId="4" fontId="0" fillId="25" borderId="33" xfId="0" applyNumberFormat="1" applyFont="1" applyFill="1" applyBorder="1" applyAlignment="1">
      <alignment horizontal="center" vertical="center"/>
    </xf>
    <xf numFmtId="0" fontId="11" fillId="25" borderId="33" xfId="0" applyFont="1" applyFill="1" applyBorder="1" applyAlignment="1">
      <alignment horizontal="center" vertical="center"/>
    </xf>
    <xf numFmtId="0" fontId="8" fillId="25" borderId="34" xfId="0" applyFont="1" applyFill="1" applyBorder="1" applyAlignment="1">
      <alignment horizontal="center" vertical="center" wrapText="1"/>
    </xf>
    <xf numFmtId="4" fontId="0" fillId="25" borderId="35" xfId="0" applyNumberFormat="1" applyFont="1" applyFill="1" applyBorder="1" applyAlignment="1">
      <alignment horizontal="center" vertical="center"/>
    </xf>
    <xf numFmtId="0" fontId="11" fillId="25" borderId="35" xfId="0" applyFont="1" applyFill="1" applyBorder="1" applyAlignment="1">
      <alignment horizontal="center" vertical="center"/>
    </xf>
    <xf numFmtId="0" fontId="8" fillId="25" borderId="36" xfId="0" applyFont="1" applyFill="1" applyBorder="1" applyAlignment="1">
      <alignment horizontal="center" vertical="center" wrapText="1"/>
    </xf>
    <xf numFmtId="0" fontId="4" fillId="0" borderId="24" xfId="0" applyFont="1" applyBorder="1" applyAlignment="1">
      <alignment vertical="top"/>
    </xf>
    <xf numFmtId="4" fontId="12" fillId="0" borderId="22" xfId="0" applyNumberFormat="1" applyFont="1" applyFill="1" applyBorder="1" applyAlignment="1">
      <alignment horizontal="center"/>
    </xf>
    <xf numFmtId="4" fontId="12" fillId="0" borderId="23" xfId="0" applyNumberFormat="1" applyFont="1" applyFill="1" applyBorder="1" applyAlignment="1">
      <alignment horizontal="center"/>
    </xf>
    <xf numFmtId="4" fontId="12" fillId="0" borderId="24" xfId="0" applyNumberFormat="1" applyFont="1" applyFill="1" applyBorder="1" applyAlignment="1">
      <alignment horizontal="center"/>
    </xf>
    <xf numFmtId="0" fontId="0" fillId="25" borderId="25" xfId="0" applyNumberFormat="1" applyFont="1" applyFill="1" applyBorder="1" applyAlignment="1">
      <alignment vertical="center" wrapText="1"/>
    </xf>
    <xf numFmtId="0" fontId="0" fillId="25" borderId="25" xfId="0" applyNumberFormat="1" applyFont="1" applyFill="1" applyBorder="1" applyAlignment="1">
      <alignment horizontal="justify" vertical="center" wrapText="1"/>
    </xf>
    <xf numFmtId="0" fontId="14" fillId="25" borderId="0" xfId="0" applyFont="1" applyFill="1" applyBorder="1" applyAlignment="1">
      <alignment vertical="center" wrapText="1"/>
    </xf>
    <xf numFmtId="0" fontId="14" fillId="25" borderId="0" xfId="0" applyNumberFormat="1" applyFont="1" applyFill="1" applyBorder="1" applyAlignment="1">
      <alignment horizontal="justify" vertical="center" wrapText="1"/>
    </xf>
    <xf numFmtId="0" fontId="0" fillId="25" borderId="0" xfId="0" applyFill="1" applyBorder="1" applyAlignment="1">
      <alignment horizontal="center" vertical="center"/>
    </xf>
    <xf numFmtId="0" fontId="0" fillId="25" borderId="0" xfId="0" applyFill="1" applyBorder="1" applyAlignment="1">
      <alignment vertical="center"/>
    </xf>
    <xf numFmtId="0" fontId="0" fillId="25" borderId="0" xfId="0" applyFill="1" applyAlignment="1">
      <alignment vertical="center"/>
    </xf>
    <xf numFmtId="0" fontId="0" fillId="0" borderId="0" xfId="0" applyNumberFormat="1" applyAlignment="1">
      <alignment horizontal="justify"/>
    </xf>
    <xf numFmtId="3" fontId="8" fillId="0" borderId="0" xfId="0" applyNumberFormat="1" applyFont="1" applyFill="1" applyAlignment="1">
      <alignment horizontal="center" vertical="center"/>
    </xf>
    <xf numFmtId="2" fontId="8" fillId="25" borderId="25" xfId="0" applyNumberFormat="1" applyFont="1" applyFill="1" applyBorder="1" applyAlignment="1">
      <alignment horizontal="center" vertical="center"/>
    </xf>
    <xf numFmtId="4" fontId="8" fillId="0" borderId="0" xfId="0" applyNumberFormat="1" applyFont="1" applyFill="1" applyAlignment="1">
      <alignment horizontal="center" vertical="center"/>
    </xf>
    <xf numFmtId="0" fontId="0" fillId="0" borderId="0" xfId="0" applyNumberFormat="1" applyAlignment="1">
      <alignment horizontal="justify" vertical="center"/>
    </xf>
    <xf numFmtId="10" fontId="0" fillId="0" borderId="0" xfId="0" applyNumberFormat="1" applyAlignment="1">
      <alignment vertical="center"/>
    </xf>
    <xf numFmtId="2" fontId="0" fillId="25" borderId="25" xfId="0" applyNumberFormat="1" applyFill="1" applyBorder="1" applyAlignment="1">
      <alignment horizontal="center" vertical="center" wrapText="1"/>
    </xf>
    <xf numFmtId="0" fontId="7" fillId="0" borderId="0" xfId="0" applyFont="1" applyAlignment="1">
      <alignment vertical="center"/>
    </xf>
    <xf numFmtId="0" fontId="7" fillId="0" borderId="0" xfId="0" applyFont="1" applyFill="1" applyAlignment="1">
      <alignment horizontal="center" vertical="center"/>
    </xf>
    <xf numFmtId="0" fontId="7" fillId="0" borderId="0" xfId="0" applyFont="1" applyFill="1" applyAlignment="1">
      <alignment vertical="center"/>
    </xf>
    <xf numFmtId="4" fontId="7" fillId="0" borderId="0" xfId="0" applyNumberFormat="1" applyFont="1" applyFill="1" applyAlignment="1">
      <alignment vertical="center"/>
    </xf>
    <xf numFmtId="0" fontId="0" fillId="0" borderId="0" xfId="0" applyFont="1"/>
    <xf numFmtId="4" fontId="17" fillId="26" borderId="0" xfId="29" applyNumberFormat="1" applyFont="1" applyFill="1"/>
    <xf numFmtId="4" fontId="0" fillId="0" borderId="0" xfId="0" applyNumberFormat="1"/>
    <xf numFmtId="43" fontId="0" fillId="0" borderId="0" xfId="0" applyNumberFormat="1"/>
    <xf numFmtId="0" fontId="0" fillId="0" borderId="0" xfId="0" applyFont="1" applyBorder="1" applyAlignment="1">
      <alignment horizontal="center"/>
    </xf>
    <xf numFmtId="4" fontId="0" fillId="26" borderId="0" xfId="0" applyNumberFormat="1" applyFill="1"/>
    <xf numFmtId="4" fontId="0" fillId="26" borderId="0" xfId="0" applyNumberFormat="1" applyFill="1" applyBorder="1" applyAlignment="1"/>
    <xf numFmtId="43" fontId="17" fillId="26" borderId="0" xfId="29" applyNumberFormat="1" applyFont="1" applyFill="1"/>
    <xf numFmtId="176" fontId="17" fillId="26" borderId="0" xfId="29" applyNumberFormat="1" applyFont="1" applyFill="1"/>
    <xf numFmtId="10" fontId="17" fillId="0" borderId="0" xfId="75" applyNumberFormat="1" applyFont="1"/>
    <xf numFmtId="0" fontId="0" fillId="0" borderId="0" xfId="0" applyFont="1" applyAlignment="1">
      <alignment horizontal="center"/>
    </xf>
    <xf numFmtId="10" fontId="0" fillId="26" borderId="0" xfId="75" applyNumberFormat="1" applyFont="1" applyFill="1"/>
    <xf numFmtId="9" fontId="0" fillId="0" borderId="0" xfId="75" applyNumberFormat="1" applyFont="1"/>
    <xf numFmtId="0" fontId="18" fillId="0" borderId="0" xfId="0" applyFont="1" applyFill="1" applyBorder="1" applyAlignment="1">
      <alignment horizontal="left" vertical="center"/>
    </xf>
    <xf numFmtId="0" fontId="0" fillId="26" borderId="0" xfId="0" applyFill="1"/>
    <xf numFmtId="0" fontId="19" fillId="0" borderId="0" xfId="0" applyFont="1" applyFill="1" applyBorder="1" applyAlignment="1">
      <alignment horizontal="left" vertical="center"/>
    </xf>
    <xf numFmtId="4" fontId="17" fillId="0" borderId="0" xfId="29" applyNumberFormat="1" applyFont="1" applyBorder="1"/>
    <xf numFmtId="4" fontId="8" fillId="0" borderId="0" xfId="0" applyNumberFormat="1" applyFont="1" applyAlignment="1">
      <alignment horizontal="center" vertical="center"/>
    </xf>
    <xf numFmtId="4" fontId="0" fillId="26" borderId="0" xfId="0" applyNumberFormat="1" applyFill="1" applyAlignment="1">
      <alignment vertical="center"/>
    </xf>
    <xf numFmtId="4" fontId="20" fillId="0" borderId="0" xfId="0" applyNumberFormat="1" applyFont="1" applyFill="1" applyAlignment="1">
      <alignment vertical="center"/>
    </xf>
    <xf numFmtId="4" fontId="8" fillId="0" borderId="0" xfId="0" applyNumberFormat="1" applyFont="1" applyAlignment="1">
      <alignment vertical="center"/>
    </xf>
    <xf numFmtId="4" fontId="15" fillId="0" borderId="0" xfId="0" applyNumberFormat="1" applyFont="1" applyAlignment="1">
      <alignment vertical="center"/>
    </xf>
    <xf numFmtId="4" fontId="0" fillId="0" borderId="0" xfId="0" applyNumberFormat="1" applyAlignment="1">
      <alignment vertical="center"/>
    </xf>
    <xf numFmtId="0" fontId="19" fillId="0" borderId="37" xfId="0" applyFont="1" applyFill="1" applyBorder="1" applyAlignment="1">
      <alignment horizontal="left" vertical="center"/>
    </xf>
    <xf numFmtId="177" fontId="21" fillId="0" borderId="0" xfId="0" applyNumberFormat="1" applyFont="1" applyFill="1" applyBorder="1" applyAlignment="1">
      <alignment vertical="center"/>
    </xf>
    <xf numFmtId="177" fontId="19" fillId="0" borderId="0" xfId="0" applyNumberFormat="1" applyFont="1" applyFill="1" applyBorder="1" applyAlignment="1">
      <alignment vertical="center"/>
    </xf>
    <xf numFmtId="0" fontId="22" fillId="0" borderId="0" xfId="0" applyFont="1" applyFill="1" applyBorder="1" applyAlignment="1">
      <alignment vertical="center"/>
    </xf>
    <xf numFmtId="177" fontId="19" fillId="26" borderId="0" xfId="0" applyNumberFormat="1" applyFont="1" applyFill="1" applyBorder="1" applyAlignment="1">
      <alignment vertical="center"/>
    </xf>
    <xf numFmtId="43" fontId="0" fillId="26" borderId="0" xfId="0" applyNumberFormat="1" applyFill="1"/>
    <xf numFmtId="0" fontId="22" fillId="0" borderId="0" xfId="0" applyFont="1" applyFill="1" applyBorder="1" applyAlignment="1">
      <alignment horizontal="left" vertical="center"/>
    </xf>
    <xf numFmtId="177" fontId="0" fillId="0" borderId="0" xfId="0" applyNumberFormat="1"/>
    <xf numFmtId="0" fontId="23" fillId="0" borderId="0" xfId="0" applyFont="1" applyFill="1" applyBorder="1" applyAlignment="1">
      <alignment vertical="center"/>
    </xf>
    <xf numFmtId="177" fontId="24" fillId="0" borderId="0" xfId="0" applyNumberFormat="1" applyFont="1" applyFill="1" applyBorder="1" applyAlignment="1">
      <alignment vertical="center"/>
    </xf>
    <xf numFmtId="4" fontId="12" fillId="0" borderId="38" xfId="0" quotePrefix="1" applyNumberFormat="1" applyFont="1" applyFill="1" applyBorder="1" applyAlignment="1"/>
    <xf numFmtId="4" fontId="12" fillId="0" borderId="28" xfId="0" quotePrefix="1" applyNumberFormat="1" applyFont="1" applyFill="1" applyBorder="1" applyAlignment="1"/>
    <xf numFmtId="4" fontId="12" fillId="0" borderId="39" xfId="0" quotePrefix="1" applyNumberFormat="1" applyFont="1" applyFill="1" applyBorder="1" applyAlignment="1"/>
    <xf numFmtId="4" fontId="12" fillId="0" borderId="38" xfId="0" quotePrefix="1" applyNumberFormat="1" applyFont="1" applyFill="1" applyBorder="1" applyAlignment="1">
      <alignment vertical="center"/>
    </xf>
    <xf numFmtId="4" fontId="12" fillId="0" borderId="31" xfId="0" quotePrefix="1" applyNumberFormat="1" applyFont="1" applyFill="1" applyBorder="1" applyAlignment="1">
      <alignment vertical="center"/>
    </xf>
    <xf numFmtId="4" fontId="12" fillId="0" borderId="28" xfId="0" quotePrefix="1" applyNumberFormat="1" applyFont="1" applyFill="1" applyBorder="1" applyAlignment="1">
      <alignment vertical="center"/>
    </xf>
    <xf numFmtId="4" fontId="12" fillId="0" borderId="39" xfId="0" quotePrefix="1" applyNumberFormat="1" applyFont="1" applyFill="1" applyBorder="1" applyAlignment="1">
      <alignment vertical="center"/>
    </xf>
    <xf numFmtId="0" fontId="0" fillId="0" borderId="0" xfId="0" applyFill="1" applyAlignment="1">
      <alignment horizontal="left" vertical="top"/>
    </xf>
    <xf numFmtId="0" fontId="8" fillId="20" borderId="25" xfId="0" applyFont="1" applyFill="1" applyBorder="1" applyAlignment="1">
      <alignment horizontal="center" vertical="top" wrapText="1"/>
    </xf>
    <xf numFmtId="0" fontId="0" fillId="25" borderId="25" xfId="0" applyFill="1" applyBorder="1" applyAlignment="1">
      <alignment horizontal="left" vertical="top" wrapText="1"/>
    </xf>
    <xf numFmtId="0" fontId="48" fillId="25" borderId="25" xfId="0" applyFont="1" applyFill="1" applyBorder="1" applyAlignment="1">
      <alignment horizontal="justify" vertical="top" wrapText="1"/>
    </xf>
    <xf numFmtId="10" fontId="48" fillId="25" borderId="25" xfId="0" applyNumberFormat="1" applyFont="1" applyFill="1" applyBorder="1" applyAlignment="1">
      <alignment horizontal="center" vertical="center" wrapText="1"/>
    </xf>
    <xf numFmtId="0" fontId="48" fillId="25" borderId="25" xfId="0" applyFont="1" applyFill="1" applyBorder="1" applyAlignment="1">
      <alignment horizontal="left" vertical="top" wrapText="1"/>
    </xf>
    <xf numFmtId="0" fontId="8" fillId="25" borderId="25" xfId="0" applyFont="1" applyFill="1" applyBorder="1" applyAlignment="1">
      <alignment horizontal="center" vertical="center" wrapText="1"/>
    </xf>
    <xf numFmtId="0" fontId="57" fillId="25" borderId="25" xfId="0" applyFont="1" applyFill="1" applyBorder="1" applyAlignment="1">
      <alignment horizontal="center" vertical="center" wrapText="1"/>
    </xf>
    <xf numFmtId="0" fontId="46" fillId="25" borderId="25" xfId="0" applyFont="1" applyFill="1" applyBorder="1" applyAlignment="1">
      <alignment horizontal="justify" vertical="top" wrapText="1"/>
    </xf>
    <xf numFmtId="0" fontId="46" fillId="25" borderId="25" xfId="0" quotePrefix="1" applyFont="1" applyFill="1" applyBorder="1" applyAlignment="1">
      <alignment horizontal="justify" vertical="top" wrapText="1"/>
    </xf>
    <xf numFmtId="0" fontId="46" fillId="25" borderId="25" xfId="0" applyNumberFormat="1" applyFont="1" applyFill="1" applyBorder="1" applyAlignment="1">
      <alignment horizontal="justify" vertical="top" wrapText="1"/>
    </xf>
    <xf numFmtId="0" fontId="46" fillId="25" borderId="25" xfId="0" applyFont="1" applyFill="1" applyBorder="1" applyAlignment="1">
      <alignment horizontal="center" vertical="center" wrapText="1"/>
    </xf>
    <xf numFmtId="0" fontId="1" fillId="0" borderId="0" xfId="65" applyFont="1"/>
    <xf numFmtId="0" fontId="1" fillId="0" borderId="0" xfId="65" applyFont="1" applyAlignment="1">
      <alignment horizontal="center"/>
    </xf>
    <xf numFmtId="0" fontId="3" fillId="0" borderId="0" xfId="65" applyFont="1" applyAlignment="1">
      <alignment vertical="top"/>
    </xf>
    <xf numFmtId="0" fontId="4" fillId="20" borderId="25" xfId="65" applyFont="1" applyFill="1" applyBorder="1" applyAlignment="1">
      <alignment horizontal="center" vertical="center"/>
    </xf>
    <xf numFmtId="0" fontId="1" fillId="0" borderId="0" xfId="65" applyFont="1" applyAlignment="1">
      <alignment vertical="center"/>
    </xf>
    <xf numFmtId="0" fontId="5" fillId="0" borderId="25" xfId="65" applyFont="1" applyBorder="1" applyAlignment="1">
      <alignment horizontal="center" vertical="top"/>
    </xf>
    <xf numFmtId="0" fontId="5" fillId="0" borderId="25" xfId="65" applyFont="1" applyBorder="1" applyAlignment="1">
      <alignment vertical="top"/>
    </xf>
    <xf numFmtId="0" fontId="4" fillId="0" borderId="25" xfId="65" applyFont="1" applyBorder="1" applyAlignment="1">
      <alignment horizontal="center" vertical="top"/>
    </xf>
    <xf numFmtId="0" fontId="5" fillId="0" borderId="0" xfId="65" applyFont="1" applyAlignment="1">
      <alignment vertical="top"/>
    </xf>
    <xf numFmtId="0" fontId="2" fillId="0" borderId="40" xfId="65" applyFont="1" applyBorder="1" applyAlignment="1">
      <alignment horizontal="center" vertical="center"/>
    </xf>
    <xf numFmtId="0" fontId="5" fillId="0" borderId="0" xfId="65" applyFont="1" applyAlignment="1">
      <alignment vertical="center"/>
    </xf>
    <xf numFmtId="0" fontId="3" fillId="0" borderId="0" xfId="65" applyFont="1"/>
    <xf numFmtId="4" fontId="0" fillId="0" borderId="0" xfId="0" applyNumberFormat="1" applyFill="1" applyBorder="1" applyAlignment="1">
      <alignment vertical="center"/>
    </xf>
    <xf numFmtId="2" fontId="8" fillId="0" borderId="0" xfId="0" applyNumberFormat="1" applyFont="1" applyFill="1" applyBorder="1" applyAlignment="1">
      <alignment horizontal="center" vertical="center"/>
    </xf>
    <xf numFmtId="0" fontId="10" fillId="0" borderId="0" xfId="0" applyFont="1" applyFill="1" applyBorder="1" applyAlignment="1">
      <alignment horizontal="center" vertical="center" wrapText="1"/>
    </xf>
    <xf numFmtId="0" fontId="8" fillId="27" borderId="0" xfId="0" applyNumberFormat="1" applyFont="1" applyFill="1" applyBorder="1" applyAlignment="1">
      <alignment horizontal="center" vertical="center" wrapText="1"/>
    </xf>
    <xf numFmtId="0" fontId="58" fillId="27" borderId="10" xfId="0" applyFont="1" applyFill="1" applyBorder="1" applyAlignment="1">
      <alignment horizontal="center" vertical="center" wrapText="1"/>
    </xf>
    <xf numFmtId="4" fontId="53" fillId="27" borderId="12" xfId="0" applyNumberFormat="1" applyFont="1" applyFill="1" applyBorder="1" applyAlignment="1">
      <alignment horizontal="center" vertical="center"/>
    </xf>
    <xf numFmtId="0" fontId="54" fillId="27" borderId="13" xfId="0" applyFont="1" applyFill="1" applyBorder="1" applyAlignment="1">
      <alignment horizontal="center" vertical="center"/>
    </xf>
    <xf numFmtId="4" fontId="53" fillId="27" borderId="15" xfId="0" applyNumberFormat="1" applyFont="1" applyFill="1" applyBorder="1" applyAlignment="1">
      <alignment horizontal="center" vertical="center"/>
    </xf>
    <xf numFmtId="0" fontId="54" fillId="27" borderId="16" xfId="0" applyFont="1" applyFill="1" applyBorder="1" applyAlignment="1">
      <alignment horizontal="center" vertical="center"/>
    </xf>
    <xf numFmtId="4" fontId="53" fillId="27" borderId="18" xfId="0" applyNumberFormat="1" applyFont="1" applyFill="1" applyBorder="1" applyAlignment="1">
      <alignment horizontal="center" vertical="center"/>
    </xf>
    <xf numFmtId="0" fontId="54" fillId="27" borderId="19" xfId="0" applyFont="1" applyFill="1" applyBorder="1" applyAlignment="1">
      <alignment horizontal="center" vertical="center"/>
    </xf>
    <xf numFmtId="0" fontId="55" fillId="27" borderId="21" xfId="46" applyNumberFormat="1" applyFont="1" applyFill="1" applyBorder="1" applyAlignment="1" applyProtection="1">
      <alignment vertical="center" wrapText="1"/>
    </xf>
    <xf numFmtId="4" fontId="53" fillId="27" borderId="10" xfId="0" applyNumberFormat="1" applyFont="1" applyFill="1" applyBorder="1" applyAlignment="1">
      <alignment horizontal="center" vertical="center"/>
    </xf>
    <xf numFmtId="0" fontId="56" fillId="27" borderId="10" xfId="0" applyFont="1" applyFill="1" applyBorder="1" applyAlignment="1">
      <alignment horizontal="center" vertical="center"/>
    </xf>
    <xf numFmtId="0" fontId="52" fillId="27" borderId="11" xfId="0" applyNumberFormat="1" applyFont="1" applyFill="1" applyBorder="1" applyAlignment="1">
      <alignment horizontal="center" vertical="center" wrapText="1"/>
    </xf>
    <xf numFmtId="0" fontId="52" fillId="27" borderId="14" xfId="0" applyNumberFormat="1" applyFont="1" applyFill="1" applyBorder="1" applyAlignment="1">
      <alignment horizontal="center" vertical="center" wrapText="1"/>
    </xf>
    <xf numFmtId="0" fontId="52" fillId="27" borderId="17" xfId="0" applyNumberFormat="1" applyFont="1" applyFill="1" applyBorder="1" applyAlignment="1">
      <alignment horizontal="center" vertical="center" wrapText="1"/>
    </xf>
    <xf numFmtId="0" fontId="52" fillId="27" borderId="20" xfId="0" applyNumberFormat="1" applyFont="1" applyFill="1" applyBorder="1" applyAlignment="1">
      <alignment horizontal="center" vertical="center" wrapText="1"/>
    </xf>
    <xf numFmtId="0" fontId="0" fillId="27" borderId="25" xfId="0" applyNumberFormat="1" applyFont="1" applyFill="1" applyBorder="1" applyAlignment="1">
      <alignment vertical="center" wrapText="1"/>
    </xf>
    <xf numFmtId="4" fontId="8" fillId="0" borderId="10" xfId="0" applyNumberFormat="1" applyFont="1" applyBorder="1" applyAlignment="1">
      <alignment horizontal="center" vertical="center"/>
    </xf>
    <xf numFmtId="10" fontId="46" fillId="25" borderId="25" xfId="0" applyNumberFormat="1" applyFont="1" applyFill="1" applyBorder="1" applyAlignment="1">
      <alignment horizontal="center" vertical="center" wrapText="1"/>
    </xf>
    <xf numFmtId="0" fontId="46" fillId="25" borderId="25" xfId="0" applyFont="1" applyFill="1" applyBorder="1" applyAlignment="1">
      <alignment horizontal="left" vertical="top" wrapText="1"/>
    </xf>
    <xf numFmtId="0" fontId="0" fillId="28" borderId="25" xfId="0" applyFill="1" applyBorder="1" applyAlignment="1">
      <alignment horizontal="justify" vertical="top" wrapText="1"/>
    </xf>
    <xf numFmtId="0" fontId="0" fillId="25" borderId="25" xfId="0" applyNumberFormat="1" applyFill="1" applyBorder="1" applyAlignment="1">
      <alignment horizontal="left" vertical="top" wrapText="1"/>
    </xf>
    <xf numFmtId="0" fontId="46" fillId="25" borderId="25" xfId="0" applyNumberFormat="1" applyFont="1" applyFill="1" applyBorder="1" applyAlignment="1">
      <alignment horizontal="left" vertical="top" wrapText="1"/>
    </xf>
    <xf numFmtId="0" fontId="50" fillId="27" borderId="25" xfId="0" applyFont="1" applyFill="1" applyBorder="1" applyAlignment="1">
      <alignment horizontal="center" vertical="center" wrapText="1"/>
    </xf>
    <xf numFmtId="0" fontId="15" fillId="27" borderId="25" xfId="0" applyFont="1" applyFill="1" applyBorder="1" applyAlignment="1">
      <alignment horizontal="center" vertical="center" wrapText="1"/>
    </xf>
    <xf numFmtId="0" fontId="46" fillId="27" borderId="25" xfId="0" quotePrefix="1" applyFont="1" applyFill="1" applyBorder="1" applyAlignment="1">
      <alignment horizontal="justify" vertical="top" wrapText="1"/>
    </xf>
    <xf numFmtId="0" fontId="8" fillId="0" borderId="0" xfId="0" applyFont="1" applyAlignment="1">
      <alignment horizontal="right" vertical="center"/>
    </xf>
    <xf numFmtId="0" fontId="1" fillId="0" borderId="25" xfId="65" quotePrefix="1" applyNumberFormat="1" applyFont="1" applyFill="1" applyBorder="1" applyAlignment="1">
      <alignment horizontal="justify" vertical="top" wrapText="1"/>
    </xf>
    <xf numFmtId="0" fontId="1" fillId="0" borderId="25" xfId="65" applyNumberFormat="1" applyFont="1" applyFill="1" applyBorder="1" applyAlignment="1">
      <alignment horizontal="justify" vertical="top"/>
    </xf>
    <xf numFmtId="0" fontId="6" fillId="20" borderId="25" xfId="65" applyFont="1" applyFill="1" applyBorder="1" applyAlignment="1">
      <alignment horizontal="center" wrapText="1"/>
    </xf>
    <xf numFmtId="0" fontId="6" fillId="20" borderId="41" xfId="65" applyFont="1" applyFill="1" applyBorder="1" applyAlignment="1">
      <alignment horizontal="center" wrapText="1"/>
    </xf>
    <xf numFmtId="0" fontId="6" fillId="0" borderId="41" xfId="65" applyFont="1" applyBorder="1" applyAlignment="1">
      <alignment horizontal="center" vertical="center"/>
    </xf>
    <xf numFmtId="0" fontId="6" fillId="0" borderId="42" xfId="65" applyFont="1" applyBorder="1" applyAlignment="1">
      <alignment horizontal="center" vertical="center"/>
    </xf>
    <xf numFmtId="0" fontId="6" fillId="0" borderId="43" xfId="65" applyFont="1" applyBorder="1" applyAlignment="1">
      <alignment horizontal="center" vertical="center"/>
    </xf>
    <xf numFmtId="0" fontId="2" fillId="20" borderId="25" xfId="65" applyFont="1" applyFill="1" applyBorder="1" applyAlignment="1">
      <alignment horizontal="center" vertical="center"/>
    </xf>
    <xf numFmtId="0" fontId="47" fillId="0" borderId="25" xfId="65" applyNumberFormat="1" applyFont="1" applyFill="1" applyBorder="1" applyAlignment="1">
      <alignment horizontal="justify" vertical="top" wrapText="1"/>
    </xf>
    <xf numFmtId="0" fontId="47" fillId="0" borderId="25" xfId="65" applyNumberFormat="1" applyFont="1" applyFill="1" applyBorder="1" applyAlignment="1">
      <alignment horizontal="justify" vertical="top"/>
    </xf>
    <xf numFmtId="0" fontId="5" fillId="0" borderId="25" xfId="65" applyFont="1" applyBorder="1" applyAlignment="1">
      <alignment horizontal="center" vertical="top"/>
    </xf>
    <xf numFmtId="0" fontId="5" fillId="0" borderId="25" xfId="65" applyFont="1" applyBorder="1" applyAlignment="1">
      <alignment horizontal="left" vertical="top" wrapText="1"/>
    </xf>
    <xf numFmtId="0" fontId="4" fillId="0" borderId="25" xfId="65" applyFont="1" applyBorder="1" applyAlignment="1">
      <alignment horizontal="center" vertical="center"/>
    </xf>
    <xf numFmtId="0" fontId="5" fillId="0" borderId="40" xfId="65" applyFont="1" applyBorder="1" applyAlignment="1">
      <alignment horizontal="center" vertical="center" wrapText="1"/>
    </xf>
    <xf numFmtId="0" fontId="5" fillId="0" borderId="40" xfId="65" applyFont="1" applyBorder="1" applyAlignment="1">
      <alignment vertical="center" wrapText="1"/>
    </xf>
    <xf numFmtId="0" fontId="2" fillId="20" borderId="40" xfId="65" applyFont="1" applyFill="1" applyBorder="1" applyAlignment="1">
      <alignment horizontal="center" vertical="center"/>
    </xf>
    <xf numFmtId="0" fontId="2" fillId="0" borderId="0" xfId="65" applyFont="1" applyAlignment="1">
      <alignment horizontal="center"/>
    </xf>
    <xf numFmtId="0" fontId="2" fillId="0" borderId="25" xfId="65" applyFont="1" applyBorder="1" applyAlignment="1">
      <alignment horizontal="center" vertical="top" wrapText="1"/>
    </xf>
    <xf numFmtId="0" fontId="8" fillId="20" borderId="25" xfId="0" applyFont="1" applyFill="1" applyBorder="1" applyAlignment="1">
      <alignment horizontal="center" vertical="center" wrapText="1"/>
    </xf>
    <xf numFmtId="0" fontId="7" fillId="0" borderId="0" xfId="0" applyFont="1" applyAlignment="1">
      <alignment horizontal="center" vertical="center"/>
    </xf>
    <xf numFmtId="0" fontId="8" fillId="0" borderId="0" xfId="0" applyFont="1" applyBorder="1" applyAlignment="1">
      <alignment horizontal="center" vertical="center"/>
    </xf>
    <xf numFmtId="0" fontId="8" fillId="0" borderId="44" xfId="0" applyFont="1" applyBorder="1" applyAlignment="1">
      <alignment horizontal="center" vertical="center"/>
    </xf>
    <xf numFmtId="0" fontId="9" fillId="24" borderId="45" xfId="0" applyFont="1" applyFill="1" applyBorder="1" applyAlignment="1">
      <alignment horizontal="center" vertical="center" wrapText="1"/>
    </xf>
    <xf numFmtId="0" fontId="9" fillId="24" borderId="46" xfId="0" applyFont="1" applyFill="1" applyBorder="1" applyAlignment="1">
      <alignment horizontal="center" vertical="center" wrapText="1"/>
    </xf>
    <xf numFmtId="0" fontId="10" fillId="26" borderId="45" xfId="0" applyFont="1" applyFill="1" applyBorder="1" applyAlignment="1">
      <alignment horizontal="center" vertical="center"/>
    </xf>
    <xf numFmtId="0" fontId="10" fillId="26" borderId="46" xfId="0" applyFont="1" applyFill="1" applyBorder="1" applyAlignment="1">
      <alignment horizontal="center" vertical="center"/>
    </xf>
    <xf numFmtId="0" fontId="10" fillId="26" borderId="47" xfId="0" applyFont="1" applyFill="1" applyBorder="1" applyAlignment="1">
      <alignment horizontal="center" vertical="center" wrapText="1"/>
    </xf>
    <xf numFmtId="0" fontId="10" fillId="26" borderId="48" xfId="0" applyFont="1" applyFill="1" applyBorder="1" applyAlignment="1">
      <alignment horizontal="center" vertical="center" wrapText="1"/>
    </xf>
    <xf numFmtId="0" fontId="7" fillId="27" borderId="0" xfId="0" applyFont="1" applyFill="1" applyAlignment="1">
      <alignment horizontal="center" vertical="center"/>
    </xf>
    <xf numFmtId="0" fontId="8" fillId="27" borderId="0" xfId="0" applyFont="1" applyFill="1" applyBorder="1" applyAlignment="1">
      <alignment horizontal="center" vertical="center"/>
    </xf>
    <xf numFmtId="0" fontId="8" fillId="27" borderId="44" xfId="0" applyFont="1" applyFill="1" applyBorder="1" applyAlignment="1">
      <alignment horizontal="center" vertical="center"/>
    </xf>
    <xf numFmtId="0" fontId="58" fillId="27" borderId="11" xfId="0" applyFont="1" applyFill="1" applyBorder="1" applyAlignment="1">
      <alignment horizontal="center" vertical="center" wrapText="1"/>
    </xf>
    <xf numFmtId="0" fontId="58" fillId="27" borderId="12" xfId="0" applyFont="1" applyFill="1" applyBorder="1" applyAlignment="1">
      <alignment horizontal="center" vertical="center" wrapText="1"/>
    </xf>
    <xf numFmtId="0" fontId="52" fillId="27" borderId="27" xfId="0" applyFont="1" applyFill="1" applyBorder="1" applyAlignment="1">
      <alignment horizontal="left" vertical="top" wrapText="1"/>
    </xf>
    <xf numFmtId="0" fontId="52" fillId="27" borderId="23" xfId="0" applyFont="1" applyFill="1" applyBorder="1" applyAlignment="1">
      <alignment horizontal="left" vertical="top" wrapText="1"/>
    </xf>
    <xf numFmtId="0" fontId="52" fillId="27" borderId="24" xfId="0" applyFont="1" applyFill="1" applyBorder="1" applyAlignment="1">
      <alignment horizontal="left" vertical="top" wrapText="1"/>
    </xf>
    <xf numFmtId="0" fontId="9" fillId="24" borderId="11" xfId="0" applyFont="1" applyFill="1" applyBorder="1" applyAlignment="1">
      <alignment horizontal="center" vertical="center" wrapText="1"/>
    </xf>
    <xf numFmtId="0" fontId="9" fillId="24" borderId="12" xfId="0" applyFont="1" applyFill="1" applyBorder="1" applyAlignment="1">
      <alignment horizontal="center" vertical="center" wrapText="1"/>
    </xf>
    <xf numFmtId="0" fontId="4" fillId="0" borderId="27" xfId="0" applyFont="1" applyBorder="1" applyAlignment="1">
      <alignment horizontal="left" vertical="top" wrapText="1"/>
    </xf>
    <xf numFmtId="0" fontId="4" fillId="0" borderId="23" xfId="0" applyFont="1" applyBorder="1" applyAlignment="1">
      <alignment horizontal="left" vertical="top" wrapText="1"/>
    </xf>
    <xf numFmtId="0" fontId="4" fillId="0" borderId="24" xfId="0" applyFont="1" applyBorder="1" applyAlignment="1">
      <alignment horizontal="left" vertical="top" wrapText="1"/>
    </xf>
  </cellXfs>
  <cellStyles count="8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Explanatory Text" xfId="27" xr:uid="{CE678F6F-0735-45C8-93FE-115DE6DF25D4}"/>
    <cellStyle name="Check Cell" xfId="28" builtinId="23" customBuiltin="1"/>
    <cellStyle name="Comma" xfId="29" builtinId="3"/>
    <cellStyle name="Comma [0] 2" xfId="30" xr:uid="{1B5597B5-5B68-4B94-9F7B-63756A5CD04C}"/>
    <cellStyle name="Comma [0] 3" xfId="31" xr:uid="{D4496CBE-2D1E-4BC5-8256-249F68FECC69}"/>
    <cellStyle name="Comma [0] 4" xfId="32" xr:uid="{CC340CE6-C7F9-4551-97A2-51B61138F49F}"/>
    <cellStyle name="Comma [0] 5" xfId="33" xr:uid="{F3908581-7910-496F-B303-847C803294B3}"/>
    <cellStyle name="Comma 2" xfId="34" xr:uid="{6D1E4DFB-A90E-4A43-A277-A1DA50F27F79}"/>
    <cellStyle name="Comma 3" xfId="35" xr:uid="{14F669AA-66D5-4D48-85A9-9D975021851E}"/>
    <cellStyle name="Comma 4" xfId="36" xr:uid="{7D40297C-3BB1-4D3B-B554-8454B7554E03}"/>
    <cellStyle name="Comma 5" xfId="37" xr:uid="{9CF2437F-E9F3-4344-82BB-EB5055D7F0A6}"/>
    <cellStyle name="Comma 6" xfId="38" xr:uid="{09BF6C27-1546-488F-B4E0-423C52B85A91}"/>
    <cellStyle name="Comma 7" xfId="39" xr:uid="{9BE26899-4966-4F05-ADC0-E8A6134191FB}"/>
    <cellStyle name="Explanatory Text" xfId="40" builtinId="53" customBuiltin="1"/>
    <cellStyle name="Good" xfId="41" builtinId="26" customBuiltin="1"/>
    <cellStyle name="Heading 1" xfId="42" builtinId="16" customBuiltin="1"/>
    <cellStyle name="Heading 2" xfId="43" builtinId="17" customBuiltin="1"/>
    <cellStyle name="Heading 3" xfId="44" builtinId="18" customBuiltin="1"/>
    <cellStyle name="Heading 4" xfId="45" builtinId="19" customBuiltin="1"/>
    <cellStyle name="Hyperlink" xfId="46" builtinId="8"/>
    <cellStyle name="Hyperlink 2" xfId="47" xr:uid="{63EBA69B-A9A6-4632-B310-67543ACFC142}"/>
    <cellStyle name="Input" xfId="48" builtinId="20" customBuiltin="1"/>
    <cellStyle name="Linked Cell" xfId="49" builtinId="24" customBuiltin="1"/>
    <cellStyle name="Neutral" xfId="50" builtinId="28" customBuiltin="1"/>
    <cellStyle name="Normal" xfId="0" builtinId="0"/>
    <cellStyle name="Normal - Style1" xfId="51" xr:uid="{70585175-E985-4D48-B065-BC4C51567259}"/>
    <cellStyle name="Normal - Style2" xfId="52" xr:uid="{873D3A42-F143-4036-AE8C-7724A777184D}"/>
    <cellStyle name="Normal - Style3" xfId="53" xr:uid="{35E95CC9-20CC-4A97-A011-C168BD88A20F}"/>
    <cellStyle name="Normal - Style4" xfId="54" xr:uid="{6969526E-7C36-44E1-9453-A83A9C100C2D}"/>
    <cellStyle name="Normal - Style5" xfId="55" xr:uid="{3142E2CC-9B5A-4DF3-99C2-8D63871C0C85}"/>
    <cellStyle name="Normal - Style6" xfId="56" xr:uid="{2CB9C0E9-0BA0-4A26-AD03-D1FCD349938F}"/>
    <cellStyle name="Normal - Style7" xfId="57" xr:uid="{738F43E6-E971-49C6-8866-9908B2A32C4B}"/>
    <cellStyle name="Normal - Style8" xfId="58" xr:uid="{56EC5708-B6D3-4C40-9DA6-A057D56BA80C}"/>
    <cellStyle name="Normal 2" xfId="59" xr:uid="{AA6C02D5-D60D-4002-A128-14F0902DC2B1}"/>
    <cellStyle name="Normal 2 2" xfId="60" xr:uid="{08407024-E785-4B3E-BA31-00F0BB987F25}"/>
    <cellStyle name="Normal 2 3" xfId="61" xr:uid="{32BE3FCF-094C-49FD-98CA-E52BA4555D5B}"/>
    <cellStyle name="Normal 2 3 2" xfId="62" xr:uid="{30370DAC-3945-4C44-B57B-4504968BAB13}"/>
    <cellStyle name="Normal 3" xfId="63" xr:uid="{41EFCF76-FE03-410D-9A46-3B00FD8E9A85}"/>
    <cellStyle name="Normal 3 2" xfId="64" xr:uid="{7CED8D00-4B35-4526-9E3B-75D1DF05DF90}"/>
    <cellStyle name="Normal 4" xfId="65" xr:uid="{088B81DD-4441-4E6F-A5FD-945725CB6B51}"/>
    <cellStyle name="Normal 5" xfId="66" xr:uid="{75767E7E-4AB8-47F5-83CB-218F1EA44F25}"/>
    <cellStyle name="Normal 6" xfId="67" xr:uid="{BDFAD36F-9ADF-49FF-B363-8687370D156B}"/>
    <cellStyle name="Normal 6 2" xfId="68" xr:uid="{5F4970FA-3DD0-4C9C-BB9C-83DE3043117F}"/>
    <cellStyle name="Normal 7" xfId="69" xr:uid="{540C10F2-5D63-4CA5-BC3E-43368094D484}"/>
    <cellStyle name="Normal 8" xfId="70" xr:uid="{60649DD7-9391-4F4D-96D3-38B389D33204}"/>
    <cellStyle name="Normal 9" xfId="71" xr:uid="{2343CAB1-39D8-4D51-B075-7CC6EC7F4659}"/>
    <cellStyle name="Normal 9 2" xfId="72" xr:uid="{257250DA-3C93-4EF8-9B8A-5AAF03335407}"/>
    <cellStyle name="Note" xfId="73" builtinId="10" customBuiltin="1"/>
    <cellStyle name="Output" xfId="74" builtinId="21" customBuiltin="1"/>
    <cellStyle name="Percent" xfId="75" builtinId="5"/>
    <cellStyle name="Percent 2" xfId="76" xr:uid="{BAD61783-BDB9-484C-9A4B-A1A3BE190F7D}"/>
    <cellStyle name="Percent 3" xfId="77" xr:uid="{DB75530D-6007-40F0-AF60-907839FB648D}"/>
    <cellStyle name="Percent 4" xfId="78" xr:uid="{F27C981A-BD1F-4DE5-AF21-AD576BD73D6A}"/>
    <cellStyle name="Title" xfId="79" builtinId="15" customBuiltin="1"/>
    <cellStyle name="Total" xfId="80" builtinId="25" customBuiltin="1"/>
    <cellStyle name="Warning Text" xfId="8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796E9-1A78-4AA7-A0BC-466BF0016128}">
  <dimension ref="A1:F55"/>
  <sheetViews>
    <sheetView topLeftCell="A4" zoomScale="85" workbookViewId="0">
      <selection activeCell="F14" sqref="F14"/>
    </sheetView>
  </sheetViews>
  <sheetFormatPr defaultRowHeight="13.2"/>
  <cols>
    <col min="1" max="1" width="22.5546875" customWidth="1"/>
    <col min="2" max="2" width="18.33203125" bestFit="1" customWidth="1"/>
    <col min="3" max="3" width="19.109375" bestFit="1" customWidth="1"/>
    <col min="4" max="4" width="24.33203125" bestFit="1" customWidth="1"/>
    <col min="5" max="5" width="21.109375" bestFit="1" customWidth="1"/>
  </cols>
  <sheetData>
    <row r="1" spans="1:5">
      <c r="A1" s="97" t="s">
        <v>0</v>
      </c>
      <c r="B1" s="98">
        <v>177239440000</v>
      </c>
      <c r="C1" s="99"/>
      <c r="D1" s="97" t="s">
        <v>1</v>
      </c>
      <c r="E1" s="98">
        <f>198299502.86124*1000</f>
        <v>198299502861.23999</v>
      </c>
    </row>
    <row r="2" spans="1:5">
      <c r="A2" s="97" t="s">
        <v>2</v>
      </c>
      <c r="B2" s="99">
        <f>+B4+B5+B3</f>
        <v>88657499000</v>
      </c>
      <c r="C2" s="100"/>
      <c r="D2" s="97" t="s">
        <v>1</v>
      </c>
      <c r="E2" s="99">
        <f>+E4+E5+E3</f>
        <v>94952200295.782623</v>
      </c>
    </row>
    <row r="3" spans="1:5">
      <c r="A3" s="101" t="s">
        <v>3</v>
      </c>
      <c r="B3" s="102">
        <v>4895686000</v>
      </c>
      <c r="E3" s="102">
        <f>1473602.42120394*1000</f>
        <v>1473602421.2039399</v>
      </c>
    </row>
    <row r="4" spans="1:5">
      <c r="A4" s="101" t="s">
        <v>4</v>
      </c>
      <c r="B4" s="103">
        <v>62330813000</v>
      </c>
      <c r="E4" s="102">
        <f>75474929.7402169*1000</f>
        <v>75474929740.216888</v>
      </c>
    </row>
    <row r="5" spans="1:5">
      <c r="A5" s="101" t="s">
        <v>5</v>
      </c>
      <c r="B5" s="102">
        <v>21431000000</v>
      </c>
      <c r="E5" s="102">
        <f>18003668.1343618*1000</f>
        <v>18003668134.361801</v>
      </c>
    </row>
    <row r="6" spans="1:5">
      <c r="A6" s="97" t="s">
        <v>6</v>
      </c>
      <c r="B6" s="104">
        <v>7056793000</v>
      </c>
    </row>
    <row r="7" spans="1:5">
      <c r="A7" t="s">
        <v>7</v>
      </c>
      <c r="B7" s="105"/>
      <c r="D7" t="s">
        <v>8</v>
      </c>
      <c r="E7" s="102">
        <v>0</v>
      </c>
    </row>
    <row r="8" spans="1:5">
      <c r="A8" t="s">
        <v>9</v>
      </c>
      <c r="B8" s="105"/>
    </row>
    <row r="9" spans="1:5">
      <c r="A9" t="s">
        <v>10</v>
      </c>
      <c r="B9" s="106"/>
    </row>
    <row r="10" spans="1:5">
      <c r="A10" s="107" t="s">
        <v>11</v>
      </c>
      <c r="B10" s="105">
        <v>72</v>
      </c>
    </row>
    <row r="11" spans="1:5">
      <c r="A11" s="107" t="s">
        <v>12</v>
      </c>
      <c r="B11" s="105">
        <v>61</v>
      </c>
    </row>
    <row r="12" spans="1:5">
      <c r="A12" t="s">
        <v>13</v>
      </c>
      <c r="B12" s="108">
        <v>0.99299999999999999</v>
      </c>
      <c r="C12" s="109"/>
    </row>
    <row r="14" spans="1:5">
      <c r="A14" s="110" t="s">
        <v>14</v>
      </c>
      <c r="B14" s="98">
        <v>165892940000</v>
      </c>
      <c r="D14" s="97" t="s">
        <v>15</v>
      </c>
      <c r="E14" s="111">
        <v>263</v>
      </c>
    </row>
    <row r="15" spans="1:5">
      <c r="A15" s="110" t="s">
        <v>16</v>
      </c>
      <c r="B15" s="98">
        <v>3919425000</v>
      </c>
      <c r="D15" s="97" t="s">
        <v>17</v>
      </c>
      <c r="E15" s="111">
        <v>1</v>
      </c>
    </row>
    <row r="16" spans="1:5">
      <c r="A16" s="110" t="s">
        <v>18</v>
      </c>
      <c r="B16" s="98">
        <v>98341000</v>
      </c>
    </row>
    <row r="17" spans="1:5">
      <c r="A17" s="110" t="s">
        <v>19</v>
      </c>
      <c r="B17" s="98">
        <v>17128000</v>
      </c>
    </row>
    <row r="18" spans="1:5">
      <c r="A18" s="110" t="s">
        <v>20</v>
      </c>
      <c r="B18" s="98">
        <v>7311607000</v>
      </c>
    </row>
    <row r="19" spans="1:5">
      <c r="A19" s="112" t="s">
        <v>21</v>
      </c>
      <c r="B19" s="113">
        <f>SUM(B14:B18)</f>
        <v>177239441000</v>
      </c>
    </row>
    <row r="21" spans="1:5">
      <c r="A21" s="26"/>
      <c r="B21" s="26"/>
      <c r="C21" s="114" t="s">
        <v>22</v>
      </c>
      <c r="D21" s="114" t="s">
        <v>23</v>
      </c>
      <c r="E21" s="114" t="s">
        <v>24</v>
      </c>
    </row>
    <row r="22" spans="1:5">
      <c r="A22" s="26"/>
      <c r="B22" s="40">
        <v>1</v>
      </c>
      <c r="C22" s="115"/>
      <c r="D22" s="115"/>
      <c r="E22" s="28"/>
    </row>
    <row r="23" spans="1:5">
      <c r="A23" s="26"/>
      <c r="B23" s="40">
        <v>2</v>
      </c>
      <c r="C23" s="115"/>
      <c r="D23" s="115"/>
      <c r="E23" s="28"/>
    </row>
    <row r="24" spans="1:5">
      <c r="A24" s="26"/>
      <c r="B24" s="40">
        <v>3</v>
      </c>
      <c r="C24" s="115"/>
      <c r="D24" s="115"/>
      <c r="E24" s="28"/>
    </row>
    <row r="25" spans="1:5">
      <c r="A25" s="26"/>
      <c r="B25" s="40">
        <v>4</v>
      </c>
      <c r="C25" s="115"/>
      <c r="D25" s="115"/>
      <c r="E25" s="28"/>
    </row>
    <row r="26" spans="1:5">
      <c r="A26" s="26"/>
      <c r="B26" s="40">
        <v>5</v>
      </c>
      <c r="C26" s="115"/>
      <c r="D26" s="115"/>
      <c r="E26" s="28"/>
    </row>
    <row r="27" spans="1:5">
      <c r="A27" s="26"/>
      <c r="B27" s="40">
        <v>6</v>
      </c>
      <c r="C27" s="115"/>
      <c r="D27" s="115"/>
      <c r="E27" s="28"/>
    </row>
    <row r="28" spans="1:5">
      <c r="A28" s="26"/>
      <c r="B28" s="40">
        <v>7</v>
      </c>
      <c r="C28" s="115"/>
      <c r="D28" s="115"/>
      <c r="E28" s="28"/>
    </row>
    <row r="29" spans="1:5">
      <c r="A29" s="26"/>
      <c r="B29" s="40">
        <v>8</v>
      </c>
      <c r="C29" s="115"/>
      <c r="D29" s="115"/>
      <c r="E29" s="28"/>
    </row>
    <row r="30" spans="1:5">
      <c r="A30" s="26"/>
      <c r="B30" s="40">
        <v>9</v>
      </c>
      <c r="C30" s="115">
        <v>176317766000</v>
      </c>
      <c r="D30" s="115">
        <v>170182647000</v>
      </c>
      <c r="E30" s="116">
        <v>4543119000</v>
      </c>
    </row>
    <row r="31" spans="1:5">
      <c r="A31" s="189" t="s">
        <v>25</v>
      </c>
      <c r="B31" s="189"/>
      <c r="C31" s="117">
        <f>SUM(C22:C30)</f>
        <v>176317766000</v>
      </c>
      <c r="D31" s="117">
        <f>SUM(D22:D30)</f>
        <v>170182647000</v>
      </c>
      <c r="E31" s="117">
        <f>SUM(E22:E30)</f>
        <v>4543119000</v>
      </c>
    </row>
    <row r="32" spans="1:5">
      <c r="A32" s="189" t="s">
        <v>26</v>
      </c>
      <c r="B32" s="189"/>
      <c r="C32" s="118">
        <f>C31/9*12</f>
        <v>235090354666.66669</v>
      </c>
      <c r="D32" s="118">
        <f>D31/9*12</f>
        <v>226910196000</v>
      </c>
      <c r="E32" s="118">
        <f>E31/9*12</f>
        <v>6057492000</v>
      </c>
    </row>
    <row r="33" spans="1:6">
      <c r="A33" s="2" t="s">
        <v>27</v>
      </c>
      <c r="B33" s="26"/>
      <c r="C33" s="119">
        <f>C31/1</f>
        <v>176317766000</v>
      </c>
      <c r="D33" s="119">
        <f>D31/1</f>
        <v>170182647000</v>
      </c>
      <c r="E33" s="119">
        <f>E31/1</f>
        <v>4543119000</v>
      </c>
    </row>
    <row r="36" spans="1:6">
      <c r="A36" s="120" t="s">
        <v>28</v>
      </c>
      <c r="B36" s="26"/>
      <c r="C36" s="26"/>
      <c r="D36" s="121">
        <f>D37/9*12</f>
        <v>20074528000</v>
      </c>
      <c r="F36" s="120"/>
    </row>
    <row r="37" spans="1:6">
      <c r="A37" s="120" t="s">
        <v>29</v>
      </c>
      <c r="B37" s="26"/>
      <c r="C37" s="26"/>
      <c r="D37" s="122">
        <f>D38-D39</f>
        <v>15055896000</v>
      </c>
      <c r="F37" s="120"/>
    </row>
    <row r="38" spans="1:6">
      <c r="A38" s="120" t="s">
        <v>30</v>
      </c>
      <c r="B38" s="26"/>
      <c r="C38" s="26"/>
      <c r="D38" s="122">
        <f>D42+D43</f>
        <v>17270373000</v>
      </c>
      <c r="F38" s="120"/>
    </row>
    <row r="39" spans="1:6">
      <c r="A39" s="120" t="s">
        <v>31</v>
      </c>
      <c r="B39" s="26"/>
      <c r="C39" s="26"/>
      <c r="D39" s="122">
        <f>D47+D48+D49</f>
        <v>2214477000</v>
      </c>
      <c r="F39" s="120"/>
    </row>
    <row r="40" spans="1:6">
      <c r="A40" s="120" t="s">
        <v>32</v>
      </c>
      <c r="D40" s="122">
        <f>+D38-D39</f>
        <v>15055896000</v>
      </c>
      <c r="F40" s="120"/>
    </row>
    <row r="41" spans="1:6">
      <c r="A41" s="120" t="s">
        <v>33</v>
      </c>
      <c r="D41" s="100">
        <f>+D46-D38</f>
        <v>6269855000</v>
      </c>
      <c r="F41" s="120"/>
    </row>
    <row r="42" spans="1:6">
      <c r="A42" s="123" t="s">
        <v>34</v>
      </c>
      <c r="D42" s="124">
        <v>17260501000</v>
      </c>
    </row>
    <row r="43" spans="1:6">
      <c r="A43" s="123" t="s">
        <v>35</v>
      </c>
      <c r="D43" s="125">
        <v>9872000</v>
      </c>
      <c r="F43" s="120"/>
    </row>
    <row r="44" spans="1:6">
      <c r="A44" s="123" t="s">
        <v>36</v>
      </c>
      <c r="D44" s="122">
        <f>+D46-D45</f>
        <v>23540228000</v>
      </c>
    </row>
    <row r="45" spans="1:6">
      <c r="A45" s="123" t="s">
        <v>37</v>
      </c>
      <c r="D45" s="124"/>
    </row>
    <row r="46" spans="1:6">
      <c r="A46" s="123" t="s">
        <v>38</v>
      </c>
      <c r="D46" s="124">
        <v>23540228000</v>
      </c>
    </row>
    <row r="47" spans="1:6">
      <c r="A47" s="123" t="s">
        <v>39</v>
      </c>
      <c r="D47" s="124">
        <v>2110185000</v>
      </c>
    </row>
    <row r="48" spans="1:6">
      <c r="A48" s="123" t="s">
        <v>40</v>
      </c>
      <c r="D48" s="124"/>
    </row>
    <row r="49" spans="1:5">
      <c r="A49" s="123" t="s">
        <v>41</v>
      </c>
      <c r="D49" s="102">
        <v>104292000</v>
      </c>
    </row>
    <row r="50" spans="1:5">
      <c r="A50" s="123" t="s">
        <v>42</v>
      </c>
      <c r="D50" s="124"/>
    </row>
    <row r="51" spans="1:5">
      <c r="A51" s="126" t="s">
        <v>43</v>
      </c>
      <c r="D51" s="122">
        <f>+D53-D52</f>
        <v>9093485000</v>
      </c>
    </row>
    <row r="52" spans="1:5">
      <c r="A52" s="123" t="s">
        <v>44</v>
      </c>
      <c r="D52" s="124">
        <v>9903624000</v>
      </c>
    </row>
    <row r="53" spans="1:5">
      <c r="A53" s="123" t="s">
        <v>45</v>
      </c>
      <c r="D53" s="124">
        <v>18997109000</v>
      </c>
      <c r="E53" s="127"/>
    </row>
    <row r="54" spans="1:5">
      <c r="A54" s="128" t="s">
        <v>46</v>
      </c>
      <c r="D54" s="124">
        <f>D46-D53</f>
        <v>4543119000</v>
      </c>
    </row>
    <row r="55" spans="1:5">
      <c r="A55" s="123" t="s">
        <v>47</v>
      </c>
      <c r="D55" s="129">
        <f>D54/10*12</f>
        <v>5451742800</v>
      </c>
    </row>
  </sheetData>
  <mergeCells count="2">
    <mergeCell ref="A31:B31"/>
    <mergeCell ref="A32:B32"/>
  </mergeCells>
  <pageMargins left="0.69861111111111107" right="0.69861111111111107" top="0.75" bottom="0.75" header="0.3" footer="0.3"/>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3BF6C-9933-496D-A51C-39A244DC288E}">
  <sheetPr>
    <tabColor indexed="16"/>
  </sheetPr>
  <dimension ref="B3:H37"/>
  <sheetViews>
    <sheetView showGridLines="0" view="pageBreakPreview" topLeftCell="B3" zoomScaleNormal="100" zoomScaleSheetLayoutView="100" workbookViewId="0">
      <selection activeCell="B27" sqref="B27:D27"/>
    </sheetView>
  </sheetViews>
  <sheetFormatPr defaultColWidth="9.109375" defaultRowHeight="13.2"/>
  <cols>
    <col min="1" max="1" width="9.109375" style="149"/>
    <col min="2" max="2" width="4.44140625" style="149" customWidth="1"/>
    <col min="3" max="3" width="42.44140625" style="149" customWidth="1"/>
    <col min="4" max="4" width="23.88671875" style="149" customWidth="1"/>
    <col min="5" max="5" width="5.109375" style="149" customWidth="1"/>
    <col min="6" max="6" width="4.6640625" style="149" customWidth="1"/>
    <col min="7" max="7" width="47" style="149" customWidth="1"/>
    <col min="8" max="8" width="19.6640625" style="149" customWidth="1"/>
    <col min="9" max="16384" width="9.109375" style="149"/>
  </cols>
  <sheetData>
    <row r="3" spans="2:8" ht="17.399999999999999">
      <c r="B3" s="206" t="s">
        <v>487</v>
      </c>
      <c r="C3" s="206"/>
      <c r="D3" s="206"/>
      <c r="E3" s="206"/>
      <c r="F3" s="206"/>
      <c r="G3" s="206"/>
      <c r="H3" s="206"/>
    </row>
    <row r="4" spans="2:8">
      <c r="H4" s="150"/>
    </row>
    <row r="5" spans="2:8">
      <c r="C5" s="149" t="s">
        <v>442</v>
      </c>
    </row>
    <row r="6" spans="2:8">
      <c r="C6" s="149" t="s">
        <v>493</v>
      </c>
    </row>
    <row r="9" spans="2:8" ht="36" customHeight="1">
      <c r="B9" s="207" t="s">
        <v>388</v>
      </c>
      <c r="C9" s="207"/>
      <c r="D9" s="207"/>
      <c r="E9" s="151"/>
      <c r="F9" s="207" t="s">
        <v>389</v>
      </c>
      <c r="G9" s="207"/>
      <c r="H9" s="207"/>
    </row>
    <row r="10" spans="2:8" s="153" customFormat="1" ht="21" customHeight="1">
      <c r="B10" s="152" t="s">
        <v>390</v>
      </c>
      <c r="C10" s="152" t="s">
        <v>391</v>
      </c>
      <c r="D10" s="152" t="s">
        <v>129</v>
      </c>
      <c r="E10" s="151"/>
      <c r="F10" s="152" t="s">
        <v>390</v>
      </c>
      <c r="G10" s="152" t="s">
        <v>391</v>
      </c>
      <c r="H10" s="152" t="s">
        <v>129</v>
      </c>
    </row>
    <row r="11" spans="2:8" ht="21" customHeight="1">
      <c r="B11" s="154">
        <v>1</v>
      </c>
      <c r="C11" s="155" t="s">
        <v>211</v>
      </c>
      <c r="D11" s="156" t="str">
        <f>Teknologi!H17</f>
        <v>Moderate</v>
      </c>
      <c r="E11" s="157"/>
      <c r="F11" s="200">
        <v>1</v>
      </c>
      <c r="G11" s="201" t="s">
        <v>340</v>
      </c>
      <c r="H11" s="202" t="str">
        <f>KPMR!E62</f>
        <v>Fair</v>
      </c>
    </row>
    <row r="12" spans="2:8" ht="21" customHeight="1">
      <c r="B12" s="154">
        <v>2</v>
      </c>
      <c r="C12" s="155" t="s">
        <v>214</v>
      </c>
      <c r="D12" s="156" t="str">
        <f>'Produk Bank'!H12</f>
        <v>Moderate</v>
      </c>
      <c r="E12" s="157"/>
      <c r="F12" s="200"/>
      <c r="G12" s="201"/>
      <c r="H12" s="202"/>
    </row>
    <row r="13" spans="2:8" ht="18" customHeight="1">
      <c r="B13" s="154">
        <v>3</v>
      </c>
      <c r="C13" s="155" t="s">
        <v>217</v>
      </c>
      <c r="D13" s="156" t="str">
        <f>'Karakter Organisasi'!H10</f>
        <v>Low to Moderate</v>
      </c>
      <c r="E13" s="157"/>
      <c r="F13" s="200">
        <v>2</v>
      </c>
      <c r="G13" s="201" t="s">
        <v>343</v>
      </c>
      <c r="H13" s="202" t="str">
        <f>'Kualitas Ketahanan'!D30</f>
        <v>Satisfactory</v>
      </c>
    </row>
    <row r="14" spans="2:8" ht="18" customHeight="1">
      <c r="B14" s="154">
        <v>4</v>
      </c>
      <c r="C14" s="155" t="s">
        <v>220</v>
      </c>
      <c r="D14" s="156" t="str">
        <f>'Rekam Jejak'!H9</f>
        <v>Low</v>
      </c>
      <c r="E14" s="157"/>
      <c r="F14" s="200"/>
      <c r="G14" s="201"/>
      <c r="H14" s="202"/>
    </row>
    <row r="15" spans="2:8" s="153" customFormat="1" ht="39" customHeight="1">
      <c r="B15" s="203" t="s">
        <v>386</v>
      </c>
      <c r="C15" s="204"/>
      <c r="D15" s="158" t="str">
        <f>'All Inheren'!F10</f>
        <v>Low to Moderate</v>
      </c>
      <c r="E15" s="159"/>
      <c r="F15" s="203" t="s">
        <v>387</v>
      </c>
      <c r="G15" s="204"/>
      <c r="H15" s="158" t="str">
        <f>Maturitas!F10</f>
        <v>Tingkat 2</v>
      </c>
    </row>
    <row r="16" spans="2:8" ht="25.2" customHeight="1">
      <c r="B16" s="205" t="s">
        <v>392</v>
      </c>
      <c r="C16" s="205"/>
      <c r="D16" s="205"/>
      <c r="E16" s="160"/>
      <c r="F16" s="205" t="s">
        <v>392</v>
      </c>
      <c r="G16" s="205"/>
      <c r="H16" s="205"/>
    </row>
    <row r="17" spans="2:8">
      <c r="B17" s="190" t="s">
        <v>460</v>
      </c>
      <c r="C17" s="191"/>
      <c r="D17" s="191"/>
      <c r="F17" s="191" t="s">
        <v>492</v>
      </c>
      <c r="G17" s="191"/>
      <c r="H17" s="191"/>
    </row>
    <row r="18" spans="2:8">
      <c r="B18" s="191"/>
      <c r="C18" s="191"/>
      <c r="D18" s="191"/>
      <c r="F18" s="191"/>
      <c r="G18" s="191"/>
      <c r="H18" s="191"/>
    </row>
    <row r="19" spans="2:8">
      <c r="B19" s="191"/>
      <c r="C19" s="191"/>
      <c r="D19" s="191"/>
      <c r="F19" s="191"/>
      <c r="G19" s="191"/>
      <c r="H19" s="191"/>
    </row>
    <row r="20" spans="2:8">
      <c r="B20" s="191"/>
      <c r="C20" s="191"/>
      <c r="D20" s="191"/>
      <c r="F20" s="191"/>
      <c r="G20" s="191"/>
      <c r="H20" s="191"/>
    </row>
    <row r="21" spans="2:8">
      <c r="B21" s="191"/>
      <c r="C21" s="191"/>
      <c r="D21" s="191"/>
      <c r="F21" s="191"/>
      <c r="G21" s="191"/>
      <c r="H21" s="191"/>
    </row>
    <row r="22" spans="2:8">
      <c r="B22" s="191"/>
      <c r="C22" s="191"/>
      <c r="D22" s="191"/>
      <c r="F22" s="191"/>
      <c r="G22" s="191"/>
      <c r="H22" s="191"/>
    </row>
    <row r="23" spans="2:8">
      <c r="B23" s="191"/>
      <c r="C23" s="191"/>
      <c r="D23" s="191"/>
      <c r="F23" s="191"/>
      <c r="G23" s="191"/>
      <c r="H23" s="191"/>
    </row>
    <row r="24" spans="2:8" ht="53.25" customHeight="1">
      <c r="B24" s="191"/>
      <c r="C24" s="191"/>
      <c r="D24" s="191"/>
      <c r="F24" s="191"/>
      <c r="G24" s="191"/>
      <c r="H24" s="191"/>
    </row>
    <row r="27" spans="2:8" ht="39" customHeight="1">
      <c r="B27" s="192" t="s">
        <v>488</v>
      </c>
      <c r="C27" s="192"/>
      <c r="D27" s="193"/>
      <c r="E27" s="194" t="str">
        <f>'RATING SIBER'!F10</f>
        <v>Low to Moderate</v>
      </c>
      <c r="F27" s="195"/>
      <c r="G27" s="195"/>
      <c r="H27" s="196"/>
    </row>
    <row r="29" spans="2:8" ht="22.2" customHeight="1">
      <c r="B29" s="197" t="s">
        <v>392</v>
      </c>
      <c r="C29" s="197"/>
      <c r="D29" s="197"/>
      <c r="E29" s="197"/>
      <c r="F29" s="197"/>
      <c r="G29" s="197"/>
      <c r="H29" s="197"/>
    </row>
    <row r="30" spans="2:8">
      <c r="B30" s="198" t="s">
        <v>509</v>
      </c>
      <c r="C30" s="199"/>
      <c r="D30" s="199"/>
      <c r="E30" s="199"/>
      <c r="F30" s="199"/>
      <c r="G30" s="199"/>
      <c r="H30" s="199"/>
    </row>
    <row r="31" spans="2:8">
      <c r="B31" s="199"/>
      <c r="C31" s="199"/>
      <c r="D31" s="199"/>
      <c r="E31" s="199"/>
      <c r="F31" s="199"/>
      <c r="G31" s="199"/>
      <c r="H31" s="199"/>
    </row>
    <row r="32" spans="2:8">
      <c r="B32" s="199"/>
      <c r="C32" s="199"/>
      <c r="D32" s="199"/>
      <c r="E32" s="199"/>
      <c r="F32" s="199"/>
      <c r="G32" s="199"/>
      <c r="H32" s="199"/>
    </row>
    <row r="33" spans="2:8">
      <c r="B33" s="199"/>
      <c r="C33" s="199"/>
      <c r="D33" s="199"/>
      <c r="E33" s="199"/>
      <c r="F33" s="199"/>
      <c r="G33" s="199"/>
      <c r="H33" s="199"/>
    </row>
    <row r="34" spans="2:8">
      <c r="B34" s="199"/>
      <c r="C34" s="199"/>
      <c r="D34" s="199"/>
      <c r="E34" s="199"/>
      <c r="F34" s="199"/>
      <c r="G34" s="199"/>
      <c r="H34" s="199"/>
    </row>
    <row r="35" spans="2:8">
      <c r="B35" s="199"/>
      <c r="C35" s="199"/>
      <c r="D35" s="199"/>
      <c r="E35" s="199"/>
      <c r="F35" s="199"/>
      <c r="G35" s="199"/>
      <c r="H35" s="199"/>
    </row>
    <row r="36" spans="2:8">
      <c r="B36" s="199"/>
      <c r="C36" s="199"/>
      <c r="D36" s="199"/>
      <c r="E36" s="199"/>
      <c r="F36" s="199"/>
      <c r="G36" s="199"/>
      <c r="H36" s="199"/>
    </row>
    <row r="37" spans="2:8">
      <c r="B37" s="199"/>
      <c r="C37" s="199"/>
      <c r="D37" s="199"/>
      <c r="E37" s="199"/>
      <c r="F37" s="199"/>
      <c r="G37" s="199"/>
      <c r="H37" s="199"/>
    </row>
  </sheetData>
  <mergeCells count="19">
    <mergeCell ref="B3:H3"/>
    <mergeCell ref="B9:D9"/>
    <mergeCell ref="F9:H9"/>
    <mergeCell ref="F11:F12"/>
    <mergeCell ref="G11:G12"/>
    <mergeCell ref="H11:H12"/>
    <mergeCell ref="F13:F14"/>
    <mergeCell ref="G13:G14"/>
    <mergeCell ref="H13:H14"/>
    <mergeCell ref="B15:C15"/>
    <mergeCell ref="F15:G15"/>
    <mergeCell ref="B16:D16"/>
    <mergeCell ref="F16:H16"/>
    <mergeCell ref="B17:D24"/>
    <mergeCell ref="F17:H24"/>
    <mergeCell ref="B27:D27"/>
    <mergeCell ref="E27:H27"/>
    <mergeCell ref="B29:H29"/>
    <mergeCell ref="B30:H37"/>
  </mergeCells>
  <pageMargins left="0.98425196850393704" right="0.59055118110236227" top="0.59055118110236227" bottom="0.39370078740157483" header="0.51181102362204722" footer="0.51181102362204722"/>
  <pageSetup paperSize="9" scale="83"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75A88-7C1E-4891-A994-05F71FA8A2B5}">
  <sheetPr>
    <tabColor indexed="22"/>
  </sheetPr>
  <dimension ref="A1:L27"/>
  <sheetViews>
    <sheetView showGridLines="0" view="pageBreakPreview" zoomScale="86" zoomScaleNormal="130" zoomScaleSheetLayoutView="100" workbookViewId="0">
      <selection activeCell="B38" sqref="B38"/>
    </sheetView>
  </sheetViews>
  <sheetFormatPr defaultColWidth="9.109375" defaultRowHeight="16.5" customHeight="1"/>
  <cols>
    <col min="1" max="1" width="5" style="26" customWidth="1"/>
    <col min="2" max="2" width="20.109375" style="26" customWidth="1"/>
    <col min="3" max="3" width="19.33203125" style="26" customWidth="1"/>
    <col min="4" max="4" width="23.88671875" style="26" customWidth="1"/>
    <col min="5" max="6" width="19.33203125" style="26" customWidth="1"/>
    <col min="7" max="7" width="27.109375" style="41" customWidth="1"/>
    <col min="8" max="8" width="11.5546875" style="41" customWidth="1"/>
    <col min="9" max="9" width="28" style="23" customWidth="1"/>
    <col min="10" max="10" width="4.109375" style="23" customWidth="1"/>
    <col min="11" max="12" width="28.5546875" style="28" customWidth="1"/>
    <col min="13" max="16384" width="9.109375" style="26"/>
  </cols>
  <sheetData>
    <row r="1" spans="1:12" s="93" customFormat="1" ht="16.5" customHeight="1">
      <c r="A1" s="65" t="s">
        <v>48</v>
      </c>
      <c r="G1" s="94"/>
      <c r="H1" s="94"/>
      <c r="I1" s="95"/>
      <c r="J1" s="95"/>
      <c r="K1" s="96"/>
      <c r="L1" s="96"/>
    </row>
    <row r="2" spans="1:12" s="23" customFormat="1" ht="12" customHeight="1">
      <c r="G2" s="41"/>
      <c r="H2" s="41"/>
      <c r="K2" s="28"/>
      <c r="L2" s="28"/>
    </row>
    <row r="3" spans="1:12" s="24" customFormat="1" ht="27" customHeight="1">
      <c r="A3" s="208" t="s">
        <v>49</v>
      </c>
      <c r="B3" s="208"/>
      <c r="C3" s="208" t="s">
        <v>50</v>
      </c>
      <c r="D3" s="208"/>
      <c r="E3" s="208"/>
      <c r="F3" s="208"/>
      <c r="G3" s="208"/>
      <c r="H3" s="208" t="s">
        <v>51</v>
      </c>
      <c r="I3" s="208" t="s">
        <v>52</v>
      </c>
      <c r="J3" s="33"/>
      <c r="K3" s="34"/>
      <c r="L3" s="34"/>
    </row>
    <row r="4" spans="1:12" s="24" customFormat="1" ht="27" customHeight="1">
      <c r="A4" s="208"/>
      <c r="B4" s="208"/>
      <c r="C4" s="43" t="s">
        <v>53</v>
      </c>
      <c r="D4" s="43" t="s">
        <v>54</v>
      </c>
      <c r="E4" s="43" t="s">
        <v>55</v>
      </c>
      <c r="F4" s="43" t="s">
        <v>56</v>
      </c>
      <c r="G4" s="43" t="s">
        <v>57</v>
      </c>
      <c r="H4" s="208"/>
      <c r="I4" s="208"/>
      <c r="J4" s="33"/>
      <c r="K4" s="34"/>
      <c r="L4" s="34"/>
    </row>
    <row r="5" spans="1:12" ht="92.4">
      <c r="A5" s="79" t="s">
        <v>58</v>
      </c>
      <c r="B5" s="80" t="s">
        <v>59</v>
      </c>
      <c r="C5" s="51" t="s">
        <v>60</v>
      </c>
      <c r="D5" s="51" t="s">
        <v>61</v>
      </c>
      <c r="E5" s="51" t="s">
        <v>62</v>
      </c>
      <c r="F5" s="51" t="s">
        <v>63</v>
      </c>
      <c r="G5" s="50" t="s">
        <v>64</v>
      </c>
      <c r="H5" s="186">
        <v>5</v>
      </c>
      <c r="I5" s="92" t="s">
        <v>461</v>
      </c>
      <c r="K5" s="161"/>
    </row>
    <row r="6" spans="1:12" ht="76.5" customHeight="1">
      <c r="A6" s="179" t="s">
        <v>65</v>
      </c>
      <c r="B6" s="80" t="s">
        <v>66</v>
      </c>
      <c r="C6" s="51" t="s">
        <v>67</v>
      </c>
      <c r="D6" s="51" t="s">
        <v>68</v>
      </c>
      <c r="E6" s="51" t="s">
        <v>69</v>
      </c>
      <c r="F6" s="51" t="s">
        <v>70</v>
      </c>
      <c r="G6" s="52" t="s">
        <v>71</v>
      </c>
      <c r="H6" s="186">
        <v>1</v>
      </c>
      <c r="I6" s="92" t="s">
        <v>462</v>
      </c>
      <c r="K6" s="161"/>
    </row>
    <row r="7" spans="1:12" ht="89.25" customHeight="1">
      <c r="A7" s="79" t="s">
        <v>72</v>
      </c>
      <c r="B7" s="80" t="s">
        <v>73</v>
      </c>
      <c r="C7" s="51" t="s">
        <v>74</v>
      </c>
      <c r="D7" s="51" t="s">
        <v>75</v>
      </c>
      <c r="E7" s="51" t="s">
        <v>76</v>
      </c>
      <c r="F7" s="51" t="s">
        <v>77</v>
      </c>
      <c r="G7" s="52" t="s">
        <v>78</v>
      </c>
      <c r="H7" s="186">
        <v>3</v>
      </c>
      <c r="I7" s="92" t="s">
        <v>463</v>
      </c>
      <c r="K7" s="161"/>
    </row>
    <row r="8" spans="1:12" ht="89.25" customHeight="1">
      <c r="A8" s="79" t="s">
        <v>79</v>
      </c>
      <c r="B8" s="80" t="s">
        <v>80</v>
      </c>
      <c r="C8" s="51" t="s">
        <v>81</v>
      </c>
      <c r="D8" s="51" t="s">
        <v>82</v>
      </c>
      <c r="E8" s="51" t="s">
        <v>83</v>
      </c>
      <c r="F8" s="51" t="s">
        <v>84</v>
      </c>
      <c r="G8" s="52" t="s">
        <v>85</v>
      </c>
      <c r="H8" s="186">
        <v>3</v>
      </c>
      <c r="I8" s="92" t="s">
        <v>464</v>
      </c>
      <c r="K8" s="161"/>
    </row>
    <row r="9" spans="1:12" ht="89.25" customHeight="1">
      <c r="A9" s="79" t="s">
        <v>86</v>
      </c>
      <c r="B9" s="80" t="s">
        <v>87</v>
      </c>
      <c r="C9" s="51" t="s">
        <v>88</v>
      </c>
      <c r="D9" s="51" t="s">
        <v>89</v>
      </c>
      <c r="E9" s="51" t="s">
        <v>90</v>
      </c>
      <c r="F9" s="51" t="s">
        <v>91</v>
      </c>
      <c r="G9" s="52" t="s">
        <v>92</v>
      </c>
      <c r="H9" s="186">
        <v>2</v>
      </c>
      <c r="I9" s="92" t="s">
        <v>465</v>
      </c>
      <c r="K9" s="161"/>
    </row>
    <row r="10" spans="1:12" ht="140.25" customHeight="1">
      <c r="A10" s="79" t="s">
        <v>93</v>
      </c>
      <c r="B10" s="80" t="s">
        <v>94</v>
      </c>
      <c r="C10" s="51" t="s">
        <v>95</v>
      </c>
      <c r="D10" s="51" t="s">
        <v>96</v>
      </c>
      <c r="E10" s="51" t="s">
        <v>97</v>
      </c>
      <c r="F10" s="51" t="s">
        <v>98</v>
      </c>
      <c r="G10" s="52" t="s">
        <v>99</v>
      </c>
      <c r="H10" s="186">
        <v>3</v>
      </c>
      <c r="I10" s="92" t="s">
        <v>466</v>
      </c>
      <c r="K10" s="161"/>
    </row>
    <row r="11" spans="1:12" ht="102" customHeight="1">
      <c r="A11" s="79" t="s">
        <v>100</v>
      </c>
      <c r="B11" s="80" t="s">
        <v>101</v>
      </c>
      <c r="C11" s="51" t="s">
        <v>102</v>
      </c>
      <c r="D11" s="51" t="s">
        <v>103</v>
      </c>
      <c r="E11" s="51" t="s">
        <v>104</v>
      </c>
      <c r="F11" s="51" t="s">
        <v>105</v>
      </c>
      <c r="G11" s="52" t="s">
        <v>106</v>
      </c>
      <c r="H11" s="186">
        <v>3</v>
      </c>
      <c r="I11" s="92" t="s">
        <v>467</v>
      </c>
      <c r="K11" s="161"/>
    </row>
    <row r="12" spans="1:12" ht="118.8">
      <c r="A12" s="79" t="s">
        <v>107</v>
      </c>
      <c r="B12" s="80" t="s">
        <v>108</v>
      </c>
      <c r="C12" s="51" t="s">
        <v>109</v>
      </c>
      <c r="D12" s="51" t="s">
        <v>110</v>
      </c>
      <c r="E12" s="51" t="s">
        <v>111</v>
      </c>
      <c r="F12" s="51" t="s">
        <v>112</v>
      </c>
      <c r="G12" s="52" t="s">
        <v>113</v>
      </c>
      <c r="H12" s="186">
        <v>2</v>
      </c>
      <c r="I12" s="92" t="s">
        <v>468</v>
      </c>
      <c r="K12" s="161"/>
    </row>
    <row r="13" spans="1:12" ht="145.19999999999999">
      <c r="A13" s="79" t="s">
        <v>114</v>
      </c>
      <c r="B13" s="80" t="s">
        <v>115</v>
      </c>
      <c r="C13" s="51" t="s">
        <v>116</v>
      </c>
      <c r="D13" s="51" t="s">
        <v>117</v>
      </c>
      <c r="E13" s="51" t="s">
        <v>118</v>
      </c>
      <c r="F13" s="51" t="s">
        <v>119</v>
      </c>
      <c r="G13" s="52" t="s">
        <v>120</v>
      </c>
      <c r="H13" s="186">
        <v>3</v>
      </c>
      <c r="I13" s="92" t="s">
        <v>469</v>
      </c>
      <c r="K13" s="161"/>
    </row>
    <row r="14" spans="1:12" ht="100.2" customHeight="1">
      <c r="A14" s="79" t="s">
        <v>121</v>
      </c>
      <c r="B14" s="80" t="s">
        <v>122</v>
      </c>
      <c r="C14" s="51" t="s">
        <v>123</v>
      </c>
      <c r="D14" s="51" t="s">
        <v>124</v>
      </c>
      <c r="E14" s="51" t="s">
        <v>125</v>
      </c>
      <c r="F14" s="51" t="s">
        <v>126</v>
      </c>
      <c r="G14" s="52" t="s">
        <v>127</v>
      </c>
      <c r="H14" s="186">
        <v>2</v>
      </c>
      <c r="I14" s="92" t="s">
        <v>470</v>
      </c>
      <c r="K14" s="161"/>
    </row>
    <row r="15" spans="1:12" ht="15" customHeight="1">
      <c r="A15" s="81"/>
      <c r="B15" s="82"/>
      <c r="C15" s="83"/>
      <c r="D15" s="84"/>
      <c r="E15" s="85"/>
      <c r="F15" s="85"/>
      <c r="K15" s="161"/>
    </row>
    <row r="16" spans="1:12" ht="22.95" customHeight="1">
      <c r="A16"/>
      <c r="B16" s="86"/>
      <c r="G16" s="87" t="s">
        <v>128</v>
      </c>
      <c r="H16" s="88">
        <f>SUM(H5:H14)/10</f>
        <v>2.7</v>
      </c>
      <c r="K16" s="162"/>
    </row>
    <row r="17" spans="1:11" ht="21" customHeight="1">
      <c r="A17"/>
      <c r="B17" s="86"/>
      <c r="G17" s="89" t="s">
        <v>129</v>
      </c>
      <c r="H17" s="56" t="str">
        <f>IF(H16&lt;=1,("Low"),IF(H16&lt;=2,("Low to Moderate"),IF(H16&lt;=3,("Moderate"),IF(H16&lt;=4,("Moderate to High"),"High"))))</f>
        <v>Moderate</v>
      </c>
      <c r="K17" s="163"/>
    </row>
    <row r="18" spans="1:11" ht="16.5" customHeight="1">
      <c r="A18"/>
      <c r="B18" s="86"/>
    </row>
    <row r="19" spans="1:11" ht="16.5" customHeight="1">
      <c r="B19" s="90"/>
    </row>
    <row r="20" spans="1:11" ht="16.5" customHeight="1">
      <c r="B20" s="90"/>
    </row>
    <row r="21" spans="1:11" ht="16.5" customHeight="1">
      <c r="B21" s="90"/>
      <c r="D21" s="91"/>
      <c r="E21" s="91"/>
      <c r="F21" s="91"/>
    </row>
    <row r="22" spans="1:11" ht="16.5" customHeight="1">
      <c r="B22" s="90"/>
    </row>
    <row r="23" spans="1:11" ht="16.5" customHeight="1">
      <c r="B23" s="90"/>
    </row>
    <row r="24" spans="1:11" ht="16.5" customHeight="1">
      <c r="B24" s="90"/>
    </row>
    <row r="25" spans="1:11" ht="16.5" customHeight="1">
      <c r="B25" s="90"/>
    </row>
    <row r="26" spans="1:11" ht="16.5" customHeight="1">
      <c r="B26" s="90"/>
    </row>
    <row r="27" spans="1:11" ht="16.5" customHeight="1">
      <c r="B27" s="90"/>
    </row>
  </sheetData>
  <mergeCells count="4">
    <mergeCell ref="C3:G3"/>
    <mergeCell ref="H3:H4"/>
    <mergeCell ref="I3:I4"/>
    <mergeCell ref="A3:B4"/>
  </mergeCells>
  <pageMargins left="0.98425196850393704" right="0.59055118110236227" top="0.59055118110236227" bottom="0.39370078740157483" header="0.51181102362204722" footer="0.51181102362204722"/>
  <pageSetup paperSize="9" scale="75"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56927-2960-4D4E-919B-12C9F23724A8}">
  <sheetPr>
    <tabColor indexed="22"/>
  </sheetPr>
  <dimension ref="A1:L22"/>
  <sheetViews>
    <sheetView showGridLines="0" view="pageBreakPreview" topLeftCell="A7" zoomScale="80" zoomScaleNormal="100" zoomScaleSheetLayoutView="80" workbookViewId="0">
      <selection activeCell="B38" sqref="B38"/>
    </sheetView>
  </sheetViews>
  <sheetFormatPr defaultColWidth="9.109375" defaultRowHeight="16.5" customHeight="1"/>
  <cols>
    <col min="1" max="1" width="5" style="26" customWidth="1"/>
    <col min="2" max="2" width="27.44140625" style="26" customWidth="1"/>
    <col min="3" max="3" width="19.33203125" style="26" customWidth="1"/>
    <col min="4" max="4" width="23.88671875" style="26" customWidth="1"/>
    <col min="5" max="6" width="19.33203125" style="26" customWidth="1"/>
    <col min="7" max="7" width="47" style="41" customWidth="1"/>
    <col min="8" max="8" width="17.88671875" style="41" customWidth="1"/>
    <col min="9" max="9" width="27.5546875" style="23" customWidth="1"/>
    <col min="10" max="10" width="4.109375" style="23" customWidth="1"/>
    <col min="11" max="12" width="28.5546875" style="28" customWidth="1"/>
    <col min="13" max="16384" width="9.109375" style="26"/>
  </cols>
  <sheetData>
    <row r="1" spans="1:12" s="93" customFormat="1" ht="16.5" customHeight="1">
      <c r="A1" s="65" t="s">
        <v>130</v>
      </c>
      <c r="G1" s="94"/>
      <c r="H1" s="94"/>
      <c r="I1" s="95"/>
      <c r="J1" s="95"/>
      <c r="K1" s="96"/>
      <c r="L1" s="96"/>
    </row>
    <row r="2" spans="1:12" s="23" customFormat="1" ht="9" customHeight="1">
      <c r="G2" s="41"/>
      <c r="H2" s="41"/>
      <c r="K2" s="28"/>
      <c r="L2" s="28"/>
    </row>
    <row r="3" spans="1:12" s="24" customFormat="1" ht="27.9" customHeight="1">
      <c r="A3" s="208" t="s">
        <v>131</v>
      </c>
      <c r="B3" s="208"/>
      <c r="C3" s="208" t="s">
        <v>50</v>
      </c>
      <c r="D3" s="208"/>
      <c r="E3" s="208"/>
      <c r="F3" s="208"/>
      <c r="G3" s="208"/>
      <c r="H3" s="208" t="s">
        <v>51</v>
      </c>
      <c r="I3" s="208" t="s">
        <v>52</v>
      </c>
      <c r="J3" s="33"/>
      <c r="K3" s="34"/>
      <c r="L3" s="34"/>
    </row>
    <row r="4" spans="1:12" s="24" customFormat="1" ht="27.9" customHeight="1">
      <c r="A4" s="208"/>
      <c r="B4" s="208"/>
      <c r="C4" s="43" t="s">
        <v>53</v>
      </c>
      <c r="D4" s="43" t="s">
        <v>54</v>
      </c>
      <c r="E4" s="43" t="s">
        <v>55</v>
      </c>
      <c r="F4" s="43" t="s">
        <v>56</v>
      </c>
      <c r="G4" s="43" t="s">
        <v>57</v>
      </c>
      <c r="H4" s="208"/>
      <c r="I4" s="208"/>
      <c r="J4" s="33"/>
      <c r="K4" s="34"/>
      <c r="L4" s="34"/>
    </row>
    <row r="5" spans="1:12" ht="132" customHeight="1">
      <c r="A5" s="79" t="s">
        <v>132</v>
      </c>
      <c r="B5" s="80" t="s">
        <v>133</v>
      </c>
      <c r="C5" s="51" t="s">
        <v>134</v>
      </c>
      <c r="D5" s="51" t="s">
        <v>135</v>
      </c>
      <c r="E5" s="51" t="s">
        <v>136</v>
      </c>
      <c r="F5" s="51" t="s">
        <v>137</v>
      </c>
      <c r="G5" s="50" t="s">
        <v>138</v>
      </c>
      <c r="H5" s="187">
        <v>4</v>
      </c>
      <c r="I5" s="92" t="s">
        <v>494</v>
      </c>
    </row>
    <row r="6" spans="1:12" ht="76.5" customHeight="1">
      <c r="A6" s="79" t="s">
        <v>139</v>
      </c>
      <c r="B6" s="80" t="s">
        <v>140</v>
      </c>
      <c r="C6" s="51" t="s">
        <v>141</v>
      </c>
      <c r="D6" s="51" t="s">
        <v>142</v>
      </c>
      <c r="E6" s="51" t="s">
        <v>143</v>
      </c>
      <c r="F6" s="51" t="s">
        <v>144</v>
      </c>
      <c r="G6" s="52" t="s">
        <v>145</v>
      </c>
      <c r="H6" s="187">
        <v>4</v>
      </c>
      <c r="I6" s="92" t="s">
        <v>471</v>
      </c>
    </row>
    <row r="7" spans="1:12" ht="76.5" customHeight="1">
      <c r="A7" s="79" t="s">
        <v>146</v>
      </c>
      <c r="B7" s="80" t="s">
        <v>147</v>
      </c>
      <c r="C7" s="51" t="s">
        <v>148</v>
      </c>
      <c r="D7" s="51" t="s">
        <v>149</v>
      </c>
      <c r="E7" s="51" t="s">
        <v>150</v>
      </c>
      <c r="F7" s="51" t="s">
        <v>151</v>
      </c>
      <c r="G7" s="52" t="s">
        <v>152</v>
      </c>
      <c r="H7" s="187">
        <v>3</v>
      </c>
      <c r="I7" s="92" t="s">
        <v>495</v>
      </c>
    </row>
    <row r="8" spans="1:12" ht="140.25" customHeight="1">
      <c r="A8" s="79" t="s">
        <v>153</v>
      </c>
      <c r="B8" s="80" t="s">
        <v>154</v>
      </c>
      <c r="C8" s="51" t="s">
        <v>155</v>
      </c>
      <c r="D8" s="51" t="s">
        <v>156</v>
      </c>
      <c r="E8" s="51" t="s">
        <v>157</v>
      </c>
      <c r="F8" s="51" t="s">
        <v>158</v>
      </c>
      <c r="G8" s="52" t="s">
        <v>159</v>
      </c>
      <c r="H8" s="187">
        <v>2</v>
      </c>
      <c r="I8" s="92" t="s">
        <v>496</v>
      </c>
    </row>
    <row r="9" spans="1:12" ht="51" customHeight="1">
      <c r="A9" s="79" t="s">
        <v>160</v>
      </c>
      <c r="B9" s="80" t="s">
        <v>161</v>
      </c>
      <c r="C9" s="51" t="s">
        <v>162</v>
      </c>
      <c r="D9" s="51" t="s">
        <v>163</v>
      </c>
      <c r="E9" s="51" t="s">
        <v>164</v>
      </c>
      <c r="F9" s="51" t="s">
        <v>165</v>
      </c>
      <c r="G9" s="52" t="s">
        <v>166</v>
      </c>
      <c r="H9" s="48">
        <v>1</v>
      </c>
      <c r="I9" s="92" t="s">
        <v>162</v>
      </c>
    </row>
    <row r="10" spans="1:12" ht="15" customHeight="1">
      <c r="A10" s="81"/>
      <c r="B10" s="82"/>
      <c r="C10" s="83"/>
      <c r="D10" s="84"/>
      <c r="E10" s="85"/>
      <c r="F10" s="85"/>
    </row>
    <row r="11" spans="1:12" ht="16.5" customHeight="1">
      <c r="A11"/>
      <c r="B11" s="86"/>
      <c r="G11" s="87" t="s">
        <v>128</v>
      </c>
      <c r="H11" s="88">
        <f>SUM(H5:H9)/5</f>
        <v>2.8</v>
      </c>
    </row>
    <row r="12" spans="1:12" ht="16.5" customHeight="1">
      <c r="A12"/>
      <c r="B12" s="86"/>
      <c r="G12" s="89" t="s">
        <v>129</v>
      </c>
      <c r="H12" s="56" t="str">
        <f>IF(H11&lt;=1,("Low"),IF(H11&lt;=2,("Low to Moderate"),IF(H11&lt;=3,("Moderate"),IF(H11&lt;=4,("Moderate to High"),"High"))))</f>
        <v>Moderate</v>
      </c>
    </row>
    <row r="13" spans="1:12" ht="16.5" customHeight="1">
      <c r="A13"/>
      <c r="B13" s="86"/>
    </row>
    <row r="14" spans="1:12" ht="16.5" customHeight="1">
      <c r="B14" s="90"/>
    </row>
    <row r="15" spans="1:12" ht="16.5" customHeight="1">
      <c r="B15" s="90"/>
    </row>
    <row r="16" spans="1:12" ht="16.5" customHeight="1">
      <c r="B16" s="90"/>
      <c r="D16" s="91"/>
      <c r="E16" s="91"/>
      <c r="F16" s="91"/>
    </row>
    <row r="17" spans="2:2" ht="16.5" customHeight="1">
      <c r="B17" s="90"/>
    </row>
    <row r="18" spans="2:2" ht="16.5" customHeight="1">
      <c r="B18" s="90"/>
    </row>
    <row r="19" spans="2:2" ht="16.5" customHeight="1">
      <c r="B19" s="90"/>
    </row>
    <row r="20" spans="2:2" ht="16.5" customHeight="1">
      <c r="B20" s="90"/>
    </row>
    <row r="21" spans="2:2" ht="16.5" customHeight="1">
      <c r="B21" s="90"/>
    </row>
    <row r="22" spans="2:2" ht="16.5" customHeight="1">
      <c r="B22" s="90"/>
    </row>
  </sheetData>
  <mergeCells count="4">
    <mergeCell ref="C3:G3"/>
    <mergeCell ref="H3:H4"/>
    <mergeCell ref="I3:I4"/>
    <mergeCell ref="A3:B4"/>
  </mergeCells>
  <pageMargins left="0.98425196850393704" right="0.59055118110236227" top="0.59055118110236227" bottom="0.39370078740157483" header="0.51181102362204722" footer="0.51181102362204722"/>
  <pageSetup paperSize="9" scale="63"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4C52C-52B6-4F17-A703-EB2AB9EF2CC3}">
  <sheetPr>
    <tabColor indexed="22"/>
  </sheetPr>
  <dimension ref="A1:L20"/>
  <sheetViews>
    <sheetView showGridLines="0" view="pageBreakPreview" topLeftCell="C1" zoomScale="80" zoomScaleNormal="100" zoomScaleSheetLayoutView="80" workbookViewId="0">
      <selection activeCell="B38" sqref="B38"/>
    </sheetView>
  </sheetViews>
  <sheetFormatPr defaultColWidth="9.109375" defaultRowHeight="16.5" customHeight="1"/>
  <cols>
    <col min="1" max="1" width="5" style="26" customWidth="1"/>
    <col min="2" max="2" width="27.44140625" style="26" customWidth="1"/>
    <col min="3" max="3" width="19.33203125" style="26" customWidth="1"/>
    <col min="4" max="4" width="23.88671875" style="26" customWidth="1"/>
    <col min="5" max="6" width="19.33203125" style="26" customWidth="1"/>
    <col min="7" max="7" width="47" style="41" customWidth="1"/>
    <col min="8" max="8" width="19" style="41" customWidth="1"/>
    <col min="9" max="9" width="24.33203125" style="23" customWidth="1"/>
    <col min="10" max="10" width="4.109375" style="23" customWidth="1"/>
    <col min="11" max="12" width="28.5546875" style="28" customWidth="1"/>
    <col min="13" max="16384" width="9.109375" style="26"/>
  </cols>
  <sheetData>
    <row r="1" spans="1:12" s="93" customFormat="1" ht="16.5" customHeight="1">
      <c r="A1" s="65" t="s">
        <v>167</v>
      </c>
      <c r="G1" s="94"/>
      <c r="H1" s="94"/>
      <c r="I1" s="95"/>
      <c r="J1" s="95"/>
      <c r="K1" s="96"/>
      <c r="L1" s="96"/>
    </row>
    <row r="2" spans="1:12" s="23" customFormat="1" ht="9.9" customHeight="1">
      <c r="G2" s="41"/>
      <c r="H2" s="41"/>
      <c r="K2" s="28"/>
      <c r="L2" s="28"/>
    </row>
    <row r="3" spans="1:12" s="24" customFormat="1" ht="27.9" customHeight="1">
      <c r="A3" s="208" t="s">
        <v>168</v>
      </c>
      <c r="B3" s="208"/>
      <c r="C3" s="208" t="s">
        <v>50</v>
      </c>
      <c r="D3" s="208"/>
      <c r="E3" s="208"/>
      <c r="F3" s="208"/>
      <c r="G3" s="208"/>
      <c r="H3" s="208" t="s">
        <v>51</v>
      </c>
      <c r="I3" s="208" t="s">
        <v>52</v>
      </c>
      <c r="J3" s="33"/>
      <c r="K3" s="34"/>
      <c r="L3" s="34"/>
    </row>
    <row r="4" spans="1:12" s="24" customFormat="1" ht="27.9" customHeight="1">
      <c r="A4" s="208"/>
      <c r="B4" s="208"/>
      <c r="C4" s="43" t="s">
        <v>53</v>
      </c>
      <c r="D4" s="43" t="s">
        <v>54</v>
      </c>
      <c r="E4" s="43" t="s">
        <v>55</v>
      </c>
      <c r="F4" s="43" t="s">
        <v>56</v>
      </c>
      <c r="G4" s="43" t="s">
        <v>57</v>
      </c>
      <c r="H4" s="208"/>
      <c r="I4" s="208"/>
      <c r="J4" s="33"/>
      <c r="K4" s="34"/>
      <c r="L4" s="34"/>
    </row>
    <row r="5" spans="1:12" ht="76.5" customHeight="1">
      <c r="A5" s="79" t="s">
        <v>169</v>
      </c>
      <c r="B5" s="80" t="s">
        <v>170</v>
      </c>
      <c r="C5" s="51" t="s">
        <v>171</v>
      </c>
      <c r="D5" s="51" t="s">
        <v>172</v>
      </c>
      <c r="E5" s="51" t="s">
        <v>173</v>
      </c>
      <c r="F5" s="51" t="s">
        <v>174</v>
      </c>
      <c r="G5" s="50" t="s">
        <v>175</v>
      </c>
      <c r="H5" s="144">
        <v>1</v>
      </c>
      <c r="I5" s="92" t="s">
        <v>472</v>
      </c>
    </row>
    <row r="6" spans="1:12" ht="51" customHeight="1">
      <c r="A6" s="79" t="s">
        <v>176</v>
      </c>
      <c r="B6" s="80" t="s">
        <v>177</v>
      </c>
      <c r="C6" s="51" t="s">
        <v>178</v>
      </c>
      <c r="D6" s="51" t="s">
        <v>179</v>
      </c>
      <c r="E6" s="51" t="s">
        <v>180</v>
      </c>
      <c r="F6" s="51" t="s">
        <v>181</v>
      </c>
      <c r="G6" s="52" t="s">
        <v>182</v>
      </c>
      <c r="H6" s="144">
        <v>2</v>
      </c>
      <c r="I6" s="92" t="s">
        <v>474</v>
      </c>
    </row>
    <row r="7" spans="1:12" ht="76.5" customHeight="1">
      <c r="A7" s="79" t="s">
        <v>183</v>
      </c>
      <c r="B7" s="80" t="s">
        <v>184</v>
      </c>
      <c r="C7" s="51" t="s">
        <v>185</v>
      </c>
      <c r="D7" s="51" t="s">
        <v>186</v>
      </c>
      <c r="E7" s="51" t="s">
        <v>187</v>
      </c>
      <c r="F7" s="51" t="s">
        <v>188</v>
      </c>
      <c r="G7" s="52" t="s">
        <v>189</v>
      </c>
      <c r="H7" s="144">
        <v>1</v>
      </c>
      <c r="I7" s="92" t="s">
        <v>473</v>
      </c>
    </row>
    <row r="8" spans="1:12" ht="15" customHeight="1">
      <c r="A8" s="81"/>
      <c r="B8" s="82"/>
      <c r="C8" s="83"/>
      <c r="D8" s="84"/>
      <c r="E8" s="85"/>
      <c r="F8" s="85"/>
    </row>
    <row r="9" spans="1:12" ht="16.5" customHeight="1">
      <c r="A9"/>
      <c r="B9" s="86"/>
      <c r="G9" s="87" t="s">
        <v>128</v>
      </c>
      <c r="H9" s="88">
        <f>SUM(H5:H7)/3</f>
        <v>1.3333333333333333</v>
      </c>
    </row>
    <row r="10" spans="1:12" ht="16.5" customHeight="1">
      <c r="A10"/>
      <c r="B10" s="86"/>
      <c r="G10" s="89" t="s">
        <v>129</v>
      </c>
      <c r="H10" s="56" t="str">
        <f>IF(H9&lt;=1,("Low"),IF(H9&lt;=2,("Low to Moderate"),IF(H9&lt;=3,("Moderate"),IF(H9&lt;=4,("Moderate to High"),"High"))))</f>
        <v>Low to Moderate</v>
      </c>
    </row>
    <row r="11" spans="1:12" ht="16.5" customHeight="1">
      <c r="A11"/>
      <c r="B11" s="86"/>
    </row>
    <row r="12" spans="1:12" ht="16.5" customHeight="1">
      <c r="B12" s="90"/>
    </row>
    <row r="13" spans="1:12" ht="16.5" customHeight="1">
      <c r="B13" s="90"/>
    </row>
    <row r="14" spans="1:12" ht="16.5" customHeight="1">
      <c r="B14" s="90"/>
      <c r="D14" s="91"/>
      <c r="E14" s="91"/>
      <c r="F14" s="91"/>
    </row>
    <row r="15" spans="1:12" ht="16.5" customHeight="1">
      <c r="B15" s="90"/>
    </row>
    <row r="16" spans="1:12" ht="16.5" customHeight="1">
      <c r="B16" s="90"/>
    </row>
    <row r="17" spans="2:2" ht="16.5" customHeight="1">
      <c r="B17" s="90"/>
    </row>
    <row r="18" spans="2:2" ht="16.5" customHeight="1">
      <c r="B18" s="90"/>
    </row>
    <row r="19" spans="2:2" ht="16.5" customHeight="1">
      <c r="B19" s="90"/>
    </row>
    <row r="20" spans="2:2" ht="16.5" customHeight="1">
      <c r="B20" s="90"/>
    </row>
  </sheetData>
  <mergeCells count="4">
    <mergeCell ref="C3:G3"/>
    <mergeCell ref="H3:H4"/>
    <mergeCell ref="I3:I4"/>
    <mergeCell ref="A3:B4"/>
  </mergeCells>
  <pageMargins left="0.98425196850393704" right="0.59055118110236227" top="0.59055118110236227" bottom="0.39370078740157483" header="0.51181102362204722" footer="0.51181102362204722"/>
  <pageSetup paperSize="9" scale="63"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90727-02AD-43B3-B99C-B28EC135DDB0}">
  <sheetPr>
    <tabColor indexed="22"/>
  </sheetPr>
  <dimension ref="A1:L19"/>
  <sheetViews>
    <sheetView showGridLines="0" view="pageBreakPreview" topLeftCell="E1" zoomScaleNormal="100" zoomScaleSheetLayoutView="100" workbookViewId="0">
      <selection activeCell="B38" sqref="B38"/>
    </sheetView>
  </sheetViews>
  <sheetFormatPr defaultColWidth="9.109375" defaultRowHeight="16.5" customHeight="1"/>
  <cols>
    <col min="1" max="1" width="5" style="26" customWidth="1"/>
    <col min="2" max="2" width="27.44140625" style="26" customWidth="1"/>
    <col min="3" max="3" width="19.33203125" style="26" customWidth="1"/>
    <col min="4" max="4" width="23.88671875" style="26" customWidth="1"/>
    <col min="5" max="6" width="19.33203125" style="26" customWidth="1"/>
    <col min="7" max="7" width="31.5546875" style="41" customWidth="1"/>
    <col min="8" max="8" width="19.44140625" style="41" customWidth="1"/>
    <col min="9" max="9" width="24" style="23" customWidth="1"/>
    <col min="10" max="10" width="4.109375" style="23" customWidth="1"/>
    <col min="11" max="12" width="28.5546875" style="28" customWidth="1"/>
    <col min="13" max="16384" width="9.109375" style="26"/>
  </cols>
  <sheetData>
    <row r="1" spans="1:12" ht="16.5" customHeight="1">
      <c r="A1" s="65" t="s">
        <v>190</v>
      </c>
    </row>
    <row r="2" spans="1:12" s="23" customFormat="1" ht="12" customHeight="1">
      <c r="G2" s="41"/>
      <c r="H2" s="41"/>
      <c r="K2" s="28"/>
      <c r="L2" s="28"/>
    </row>
    <row r="3" spans="1:12" s="24" customFormat="1" ht="29.1" customHeight="1">
      <c r="A3" s="208" t="s">
        <v>191</v>
      </c>
      <c r="B3" s="208"/>
      <c r="C3" s="208" t="s">
        <v>50</v>
      </c>
      <c r="D3" s="208"/>
      <c r="E3" s="208"/>
      <c r="F3" s="208"/>
      <c r="G3" s="208"/>
      <c r="H3" s="208" t="s">
        <v>51</v>
      </c>
      <c r="I3" s="208" t="s">
        <v>52</v>
      </c>
      <c r="J3" s="33"/>
      <c r="K3" s="34"/>
      <c r="L3" s="34"/>
    </row>
    <row r="4" spans="1:12" s="24" customFormat="1" ht="29.1" customHeight="1">
      <c r="A4" s="208"/>
      <c r="B4" s="208"/>
      <c r="C4" s="43" t="s">
        <v>53</v>
      </c>
      <c r="D4" s="43" t="s">
        <v>54</v>
      </c>
      <c r="E4" s="43" t="s">
        <v>55</v>
      </c>
      <c r="F4" s="43" t="s">
        <v>56</v>
      </c>
      <c r="G4" s="43" t="s">
        <v>57</v>
      </c>
      <c r="H4" s="208"/>
      <c r="I4" s="208"/>
      <c r="J4" s="33"/>
      <c r="K4" s="34"/>
      <c r="L4" s="34"/>
    </row>
    <row r="5" spans="1:12" ht="38.25" customHeight="1">
      <c r="A5" s="79" t="s">
        <v>192</v>
      </c>
      <c r="B5" s="80" t="s">
        <v>193</v>
      </c>
      <c r="C5" s="51" t="s">
        <v>194</v>
      </c>
      <c r="D5" s="51" t="s">
        <v>195</v>
      </c>
      <c r="E5" s="51" t="s">
        <v>196</v>
      </c>
      <c r="F5" s="51" t="s">
        <v>197</v>
      </c>
      <c r="G5" s="50" t="s">
        <v>198</v>
      </c>
      <c r="H5" s="143">
        <v>1</v>
      </c>
      <c r="I5" s="92" t="s">
        <v>475</v>
      </c>
    </row>
    <row r="6" spans="1:12" ht="51" customHeight="1">
      <c r="A6" s="79" t="s">
        <v>199</v>
      </c>
      <c r="B6" s="80" t="s">
        <v>200</v>
      </c>
      <c r="C6" s="51" t="s">
        <v>201</v>
      </c>
      <c r="D6" s="51" t="s">
        <v>202</v>
      </c>
      <c r="E6" s="51" t="s">
        <v>203</v>
      </c>
      <c r="F6" s="51" t="s">
        <v>204</v>
      </c>
      <c r="G6" s="52" t="s">
        <v>205</v>
      </c>
      <c r="H6" s="143">
        <v>1</v>
      </c>
      <c r="I6" s="92" t="s">
        <v>476</v>
      </c>
    </row>
    <row r="7" spans="1:12" ht="15" customHeight="1">
      <c r="A7" s="81"/>
      <c r="B7" s="82"/>
      <c r="C7" s="83"/>
      <c r="D7" s="84"/>
      <c r="E7" s="85"/>
      <c r="F7" s="85"/>
    </row>
    <row r="8" spans="1:12" ht="16.5" customHeight="1">
      <c r="A8"/>
      <c r="B8" s="86"/>
      <c r="G8" s="87" t="s">
        <v>128</v>
      </c>
      <c r="H8" s="88">
        <f>SUM(H5:H6)/2</f>
        <v>1</v>
      </c>
    </row>
    <row r="9" spans="1:12" ht="16.5" customHeight="1">
      <c r="A9"/>
      <c r="B9" s="86"/>
      <c r="G9" s="89" t="s">
        <v>129</v>
      </c>
      <c r="H9" s="56" t="str">
        <f>IF(H8&lt;=1,("Low"),IF(H8&lt;=2,("Low to Moderate"),IF(H8&lt;=3,("Moderate"),IF(H8&lt;=4,("Moderate to High"),"High"))))</f>
        <v>Low</v>
      </c>
    </row>
    <row r="10" spans="1:12" ht="16.5" customHeight="1">
      <c r="A10"/>
      <c r="B10" s="86"/>
    </row>
    <row r="11" spans="1:12" ht="16.5" customHeight="1">
      <c r="B11" s="90"/>
    </row>
    <row r="12" spans="1:12" ht="16.5" customHeight="1">
      <c r="B12" s="90"/>
    </row>
    <row r="13" spans="1:12" ht="16.5" customHeight="1">
      <c r="B13" s="90"/>
      <c r="D13" s="91"/>
      <c r="E13" s="91"/>
      <c r="F13" s="91"/>
    </row>
    <row r="14" spans="1:12" ht="16.5" customHeight="1">
      <c r="B14" s="90"/>
    </row>
    <row r="15" spans="1:12" ht="16.5" customHeight="1">
      <c r="B15" s="90"/>
    </row>
    <row r="16" spans="1:12" ht="16.5" customHeight="1">
      <c r="B16" s="90"/>
    </row>
    <row r="17" spans="2:2" ht="16.5" customHeight="1">
      <c r="B17" s="90"/>
    </row>
    <row r="18" spans="2:2" ht="16.5" customHeight="1">
      <c r="B18" s="90"/>
    </row>
    <row r="19" spans="2:2" ht="16.5" customHeight="1">
      <c r="B19" s="90"/>
    </row>
  </sheetData>
  <mergeCells count="4">
    <mergeCell ref="C3:G3"/>
    <mergeCell ref="H3:H4"/>
    <mergeCell ref="I3:I4"/>
    <mergeCell ref="A3:B4"/>
  </mergeCells>
  <pageMargins left="0.98425196850393704" right="0.59055118110236227" top="0.59055118110236227" bottom="0.39370078740157483" header="0.51181102362204722" footer="0.51181102362204722"/>
  <pageSetup paperSize="9" scale="64"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163C9-B3DF-4CFD-8603-F3513BB3AB0C}">
  <sheetPr>
    <tabColor indexed="22"/>
  </sheetPr>
  <dimension ref="A1:IO48"/>
  <sheetViews>
    <sheetView showGridLines="0" tabSelected="1" view="pageBreakPreview" zoomScaleNormal="100" zoomScaleSheetLayoutView="100" workbookViewId="0">
      <selection activeCell="G5" sqref="G5"/>
    </sheetView>
  </sheetViews>
  <sheetFormatPr defaultRowHeight="16.5" customHeight="1"/>
  <cols>
    <col min="1" max="1" width="25.33203125" style="26" customWidth="1"/>
    <col min="2" max="2" width="84.33203125" style="27" customWidth="1"/>
    <col min="3" max="3" width="4.109375" style="23" customWidth="1"/>
    <col min="4" max="4" width="23.88671875" style="28" customWidth="1"/>
    <col min="5" max="5" width="28.5546875" style="28" customWidth="1"/>
    <col min="6" max="6" width="9.109375" style="26" customWidth="1"/>
    <col min="7" max="7" width="47" style="26" customWidth="1"/>
    <col min="8" max="249" width="9.109375" style="26" customWidth="1"/>
  </cols>
  <sheetData>
    <row r="1" spans="1:5" ht="16.5" customHeight="1">
      <c r="A1" s="29" t="s">
        <v>347</v>
      </c>
    </row>
    <row r="2" spans="1:5" s="23" customFormat="1" ht="16.5" customHeight="1">
      <c r="B2" s="30"/>
      <c r="D2" s="28"/>
      <c r="E2" s="28"/>
    </row>
    <row r="3" spans="1:5" s="24" customFormat="1" ht="37.5" customHeight="1">
      <c r="A3" s="31" t="s">
        <v>129</v>
      </c>
      <c r="B3" s="32" t="s">
        <v>348</v>
      </c>
      <c r="C3" s="33"/>
      <c r="D3" s="34"/>
      <c r="E3" s="34"/>
    </row>
    <row r="4" spans="1:5" s="25" customFormat="1" ht="147.9" customHeight="1">
      <c r="A4" s="35" t="s">
        <v>349</v>
      </c>
      <c r="B4" s="36" t="s">
        <v>350</v>
      </c>
      <c r="C4" s="37"/>
      <c r="D4" s="38"/>
      <c r="E4" s="38"/>
    </row>
    <row r="5" spans="1:5" ht="153" customHeight="1">
      <c r="A5" s="35" t="s">
        <v>351</v>
      </c>
      <c r="B5" s="36" t="s">
        <v>352</v>
      </c>
    </row>
    <row r="6" spans="1:5" ht="140.25" customHeight="1">
      <c r="A6" s="35" t="s">
        <v>353</v>
      </c>
      <c r="B6" s="147" t="s">
        <v>354</v>
      </c>
    </row>
    <row r="7" spans="1:5" ht="165.75" customHeight="1">
      <c r="A7" s="35" t="s">
        <v>355</v>
      </c>
      <c r="B7" s="36" t="s">
        <v>356</v>
      </c>
    </row>
    <row r="8" spans="1:5" ht="165.75" customHeight="1">
      <c r="A8" s="35" t="s">
        <v>357</v>
      </c>
      <c r="B8" s="36" t="s">
        <v>358</v>
      </c>
    </row>
    <row r="9" spans="1:5" ht="16.5" customHeight="1">
      <c r="A9" s="39"/>
    </row>
    <row r="10" spans="1:5" ht="16.5" customHeight="1">
      <c r="A10" s="39"/>
    </row>
    <row r="11" spans="1:5" ht="16.5" customHeight="1">
      <c r="A11" s="39"/>
    </row>
    <row r="12" spans="1:5" ht="16.5" customHeight="1">
      <c r="A12" s="39"/>
    </row>
    <row r="13" spans="1:5" ht="16.5" customHeight="1">
      <c r="A13" s="39"/>
    </row>
    <row r="14" spans="1:5" ht="16.5" customHeight="1">
      <c r="A14" s="39"/>
    </row>
    <row r="15" spans="1:5" ht="16.5" customHeight="1">
      <c r="A15" s="39"/>
    </row>
    <row r="16" spans="1:5" ht="16.5" customHeight="1">
      <c r="A16" s="39"/>
    </row>
    <row r="17" spans="1:1" ht="16.5" customHeight="1">
      <c r="A17" s="39"/>
    </row>
    <row r="18" spans="1:1" ht="16.5" customHeight="1">
      <c r="A18" s="39"/>
    </row>
    <row r="19" spans="1:1" ht="16.5" customHeight="1">
      <c r="A19" s="39"/>
    </row>
    <row r="20" spans="1:1" ht="16.5" customHeight="1">
      <c r="A20" s="39"/>
    </row>
    <row r="21" spans="1:1" ht="16.5" customHeight="1">
      <c r="A21" s="39"/>
    </row>
    <row r="22" spans="1:1" ht="16.5" customHeight="1">
      <c r="A22" s="39"/>
    </row>
    <row r="23" spans="1:1" ht="16.5" customHeight="1">
      <c r="A23" s="39"/>
    </row>
    <row r="24" spans="1:1" ht="16.5" customHeight="1">
      <c r="A24" s="39"/>
    </row>
    <row r="25" spans="1:1" ht="16.5" customHeight="1">
      <c r="A25" s="39"/>
    </row>
    <row r="26" spans="1:1" ht="16.5" customHeight="1">
      <c r="A26" s="39"/>
    </row>
    <row r="27" spans="1:1" ht="16.5" customHeight="1">
      <c r="A27" s="39"/>
    </row>
    <row r="28" spans="1:1" ht="16.5" customHeight="1">
      <c r="A28" s="39"/>
    </row>
    <row r="29" spans="1:1" ht="16.5" customHeight="1">
      <c r="A29" s="39"/>
    </row>
    <row r="30" spans="1:1" ht="16.5" customHeight="1">
      <c r="A30" s="39"/>
    </row>
    <row r="31" spans="1:1" ht="16.5" customHeight="1">
      <c r="A31" s="39"/>
    </row>
    <row r="32" spans="1:1" ht="16.5" customHeight="1">
      <c r="A32" s="39"/>
    </row>
    <row r="33" spans="1:1" ht="16.5" customHeight="1">
      <c r="A33" s="39"/>
    </row>
    <row r="34" spans="1:1" ht="16.5" customHeight="1">
      <c r="A34" s="39"/>
    </row>
    <row r="35" spans="1:1" ht="16.5" customHeight="1">
      <c r="A35" s="39"/>
    </row>
    <row r="36" spans="1:1" ht="16.5" customHeight="1">
      <c r="A36" s="39"/>
    </row>
    <row r="37" spans="1:1" ht="16.5" customHeight="1">
      <c r="A37" s="39"/>
    </row>
    <row r="38" spans="1:1" ht="16.5" customHeight="1">
      <c r="A38" s="39"/>
    </row>
    <row r="39" spans="1:1" ht="16.5" customHeight="1">
      <c r="A39" s="39"/>
    </row>
    <row r="40" spans="1:1" ht="16.5" customHeight="1">
      <c r="A40" s="39"/>
    </row>
    <row r="41" spans="1:1" ht="16.5" customHeight="1">
      <c r="A41" s="39"/>
    </row>
    <row r="42" spans="1:1" ht="16.5" customHeight="1">
      <c r="A42" s="39"/>
    </row>
    <row r="43" spans="1:1" ht="16.5" customHeight="1">
      <c r="A43" s="39"/>
    </row>
    <row r="44" spans="1:1" ht="16.5" customHeight="1">
      <c r="A44" s="39"/>
    </row>
    <row r="45" spans="1:1" ht="16.5" customHeight="1">
      <c r="A45" s="39"/>
    </row>
    <row r="46" spans="1:1" ht="16.5" customHeight="1">
      <c r="A46" s="39"/>
    </row>
    <row r="47" spans="1:1" ht="16.5" customHeight="1">
      <c r="A47" s="39"/>
    </row>
    <row r="48" spans="1:1" ht="16.5" customHeight="1">
      <c r="A48" s="39"/>
    </row>
  </sheetData>
  <pageMargins left="0.98425196850393704" right="0.59055118110236227" top="0.59055118110236227" bottom="0.39370078740157483" header="0.51181102362204722" footer="0.51181102362204722"/>
  <pageSetup paperSize="9" scale="83"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178BA-BBF3-4304-9EFF-927A4CB1BB64}">
  <sheetPr>
    <tabColor indexed="17"/>
  </sheetPr>
  <dimension ref="A3:IT10"/>
  <sheetViews>
    <sheetView showGridLines="0" view="pageBreakPreview" zoomScaleNormal="100" zoomScaleSheetLayoutView="100" workbookViewId="0">
      <selection activeCell="F8" sqref="F8"/>
    </sheetView>
  </sheetViews>
  <sheetFormatPr defaultRowHeight="13.2"/>
  <cols>
    <col min="1" max="1" width="9.109375" style="1" customWidth="1"/>
    <col min="2" max="2" width="4.88671875" style="1" customWidth="1"/>
    <col min="3" max="3" width="3.88671875" style="1" customWidth="1"/>
    <col min="4" max="4" width="32.109375" style="1" customWidth="1"/>
    <col min="5" max="5" width="15.5546875" style="1" customWidth="1"/>
    <col min="6" max="6" width="21.88671875" style="1" customWidth="1"/>
    <col min="7" max="7" width="47" style="1" customWidth="1"/>
    <col min="8" max="8" width="22.5546875" style="1" customWidth="1"/>
    <col min="9" max="9" width="14.6640625" style="1" customWidth="1"/>
    <col min="10" max="254" width="9.109375" style="1" customWidth="1"/>
  </cols>
  <sheetData>
    <row r="3" spans="3:9" ht="17.399999999999999">
      <c r="C3" s="209" t="s">
        <v>206</v>
      </c>
      <c r="D3" s="209"/>
      <c r="E3" s="209"/>
      <c r="F3" s="209"/>
      <c r="G3" s="2"/>
      <c r="H3" s="3"/>
      <c r="I3" s="3"/>
    </row>
    <row r="4" spans="3:9">
      <c r="C4" s="210"/>
      <c r="D4" s="210"/>
      <c r="E4" s="211"/>
      <c r="F4" s="211"/>
      <c r="G4" s="2"/>
      <c r="H4" s="4"/>
      <c r="I4" s="4"/>
    </row>
    <row r="5" spans="3:9" ht="27" customHeight="1">
      <c r="C5" s="212" t="s">
        <v>207</v>
      </c>
      <c r="D5" s="213"/>
      <c r="E5" s="5" t="s">
        <v>208</v>
      </c>
      <c r="F5" s="5" t="s">
        <v>209</v>
      </c>
      <c r="G5" s="2"/>
      <c r="H5" s="214" t="s">
        <v>210</v>
      </c>
      <c r="I5" s="215"/>
    </row>
    <row r="6" spans="3:9" ht="19.95" customHeight="1">
      <c r="C6" s="67">
        <v>1</v>
      </c>
      <c r="D6" s="68" t="s">
        <v>211</v>
      </c>
      <c r="E6" s="69">
        <f>Teknologi!H16</f>
        <v>2.7</v>
      </c>
      <c r="F6" s="70" t="str">
        <f>Teknologi!H17</f>
        <v>Moderate</v>
      </c>
      <c r="G6" s="2"/>
      <c r="H6" s="130" t="s">
        <v>212</v>
      </c>
      <c r="I6" s="76" t="s">
        <v>491</v>
      </c>
    </row>
    <row r="7" spans="3:9" ht="19.95" customHeight="1">
      <c r="C7" s="71">
        <v>2</v>
      </c>
      <c r="D7" s="68" t="s">
        <v>214</v>
      </c>
      <c r="E7" s="72">
        <f>'Produk Bank'!H11</f>
        <v>2.8</v>
      </c>
      <c r="F7" s="73" t="str">
        <f>'Produk Bank'!H12</f>
        <v>Moderate</v>
      </c>
      <c r="G7" s="2"/>
      <c r="H7" s="131" t="s">
        <v>215</v>
      </c>
      <c r="I7" s="77" t="s">
        <v>216</v>
      </c>
    </row>
    <row r="8" spans="3:9" ht="19.95" customHeight="1">
      <c r="C8" s="71">
        <v>3</v>
      </c>
      <c r="D8" s="68" t="s">
        <v>217</v>
      </c>
      <c r="E8" s="72">
        <f>'Karakter Organisasi'!H9</f>
        <v>1.3333333333333333</v>
      </c>
      <c r="F8" s="73" t="str">
        <f>'Karakter Organisasi'!H10</f>
        <v>Low to Moderate</v>
      </c>
      <c r="G8" s="2"/>
      <c r="H8" s="131" t="s">
        <v>218</v>
      </c>
      <c r="I8" s="77" t="s">
        <v>219</v>
      </c>
    </row>
    <row r="9" spans="3:9" ht="19.95" customHeight="1">
      <c r="C9" s="74">
        <v>4</v>
      </c>
      <c r="D9" s="75" t="s">
        <v>220</v>
      </c>
      <c r="E9" s="72">
        <f>'Rekam Jejak'!H8</f>
        <v>1</v>
      </c>
      <c r="F9" s="73" t="str">
        <f>'Rekam Jejak'!H9</f>
        <v>Low</v>
      </c>
      <c r="G9" s="2"/>
      <c r="H9" s="131" t="s">
        <v>221</v>
      </c>
      <c r="I9" s="77" t="s">
        <v>222</v>
      </c>
    </row>
    <row r="10" spans="3:9" ht="19.95" customHeight="1">
      <c r="C10" s="16"/>
      <c r="D10" s="17"/>
      <c r="E10" s="180">
        <f>SUM(E6:E9)/4</f>
        <v>1.9583333333333333</v>
      </c>
      <c r="F10" s="19" t="str">
        <f>IF(E10&lt;=1,("Low"),IF(E10&lt;=2,("Low to Moderate"),IF(E10&lt;=3,("Moderate"),IF(E10&lt;=4,("Moderate to High"),"High"))))</f>
        <v>Low to Moderate</v>
      </c>
      <c r="G10" s="2"/>
      <c r="H10" s="132" t="s">
        <v>223</v>
      </c>
      <c r="I10" s="78" t="s">
        <v>224</v>
      </c>
    </row>
  </sheetData>
  <mergeCells count="4">
    <mergeCell ref="C3:F3"/>
    <mergeCell ref="C4:F4"/>
    <mergeCell ref="C5:D5"/>
    <mergeCell ref="H5:I5"/>
  </mergeCells>
  <pageMargins left="0.98425196850393704" right="0.59055118110236227" top="0.59055118110236227" bottom="0.39370078740157483" header="0.51181102362204722" footer="0.51181102362204722"/>
  <pageSetup paperSize="9" scale="83"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DF2B5-C7F4-4714-B616-CA5C10F63B20}">
  <sheetPr>
    <tabColor indexed="22"/>
  </sheetPr>
  <dimension ref="A1:IV71"/>
  <sheetViews>
    <sheetView showGridLines="0" view="pageBreakPreview" topLeftCell="A55" zoomScale="80" zoomScaleNormal="86" zoomScaleSheetLayoutView="80" workbookViewId="0">
      <selection activeCell="D70" sqref="D70"/>
    </sheetView>
  </sheetViews>
  <sheetFormatPr defaultColWidth="9.109375" defaultRowHeight="16.5" customHeight="1"/>
  <cols>
    <col min="1" max="1" width="5" style="26" customWidth="1"/>
    <col min="2" max="2" width="20" style="26" customWidth="1"/>
    <col min="3" max="3" width="23.44140625" style="26" customWidth="1"/>
    <col min="4" max="4" width="23.88671875" style="26" customWidth="1"/>
    <col min="5" max="5" width="14" style="26" customWidth="1"/>
    <col min="6" max="6" width="24.109375" style="26" customWidth="1"/>
    <col min="7" max="7" width="47" style="26" customWidth="1"/>
    <col min="8" max="8" width="21.88671875" style="41" customWidth="1"/>
    <col min="9" max="9" width="22" style="41" customWidth="1"/>
    <col min="10" max="10" width="22" style="23" customWidth="1"/>
    <col min="11" max="11" width="4.109375" style="23" customWidth="1"/>
    <col min="12" max="13" width="28.5546875" style="28" customWidth="1"/>
    <col min="14" max="16384" width="9.109375" style="26"/>
  </cols>
  <sheetData>
    <row r="1" spans="1:256" ht="16.5" customHeight="1">
      <c r="A1" s="65" t="s">
        <v>225</v>
      </c>
    </row>
    <row r="2" spans="1:256" s="23" customFormat="1" ht="16.5" customHeight="1">
      <c r="H2" s="41"/>
      <c r="I2" s="41"/>
      <c r="L2" s="28"/>
      <c r="M2" s="28"/>
    </row>
    <row r="3" spans="1:256" s="24" customFormat="1" ht="37.5" customHeight="1">
      <c r="A3" s="43" t="s">
        <v>226</v>
      </c>
      <c r="B3" s="43" t="s">
        <v>227</v>
      </c>
      <c r="C3" s="43" t="s">
        <v>228</v>
      </c>
      <c r="D3" s="43" t="s">
        <v>229</v>
      </c>
      <c r="E3" s="43" t="s">
        <v>230</v>
      </c>
      <c r="F3" s="43" t="s">
        <v>52</v>
      </c>
      <c r="G3" s="43" t="s">
        <v>231</v>
      </c>
      <c r="H3" s="43" t="s">
        <v>232</v>
      </c>
      <c r="I3" s="33"/>
      <c r="J3" s="34"/>
      <c r="K3" s="34"/>
    </row>
    <row r="4" spans="1:256" s="37" customFormat="1" ht="222.6" customHeight="1">
      <c r="A4" s="45">
        <v>1</v>
      </c>
      <c r="B4" s="36" t="s">
        <v>233</v>
      </c>
      <c r="C4" s="36" t="s">
        <v>234</v>
      </c>
      <c r="D4" s="49" t="s">
        <v>235</v>
      </c>
      <c r="E4" s="48">
        <v>2</v>
      </c>
      <c r="F4" s="140" t="s">
        <v>443</v>
      </c>
      <c r="G4" s="188" t="s">
        <v>510</v>
      </c>
      <c r="H4" s="52" t="s">
        <v>394</v>
      </c>
      <c r="J4" s="38"/>
      <c r="K4" s="38"/>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5"/>
      <c r="BS4" s="25"/>
      <c r="BT4" s="25"/>
      <c r="BU4" s="25"/>
      <c r="BV4" s="25"/>
      <c r="BW4" s="25"/>
      <c r="BX4" s="25"/>
      <c r="BY4" s="25"/>
      <c r="BZ4" s="25"/>
      <c r="CA4" s="25"/>
      <c r="CB4" s="25"/>
      <c r="CC4" s="25"/>
      <c r="CD4" s="25"/>
      <c r="CE4" s="25"/>
      <c r="CF4" s="25"/>
      <c r="CG4" s="25"/>
      <c r="CH4" s="25"/>
      <c r="CI4" s="25"/>
      <c r="CJ4" s="25"/>
      <c r="CK4" s="25"/>
      <c r="CL4" s="25"/>
      <c r="CM4" s="25"/>
      <c r="CN4" s="25"/>
      <c r="CO4" s="25"/>
      <c r="CP4" s="25"/>
      <c r="CQ4" s="25"/>
      <c r="CR4" s="25"/>
      <c r="CS4" s="25"/>
      <c r="CT4" s="25"/>
      <c r="CU4" s="25"/>
      <c r="CV4" s="25"/>
      <c r="CW4" s="25"/>
      <c r="CX4" s="25"/>
      <c r="CY4" s="25"/>
      <c r="CZ4" s="25"/>
      <c r="DA4" s="25"/>
      <c r="DB4" s="25"/>
      <c r="DC4" s="25"/>
      <c r="DD4" s="25"/>
      <c r="DE4" s="25"/>
      <c r="DF4" s="25"/>
      <c r="DG4" s="25"/>
      <c r="DH4" s="25"/>
      <c r="DI4" s="25"/>
      <c r="DJ4" s="25"/>
      <c r="DK4" s="25"/>
      <c r="DL4" s="25"/>
      <c r="DM4" s="25"/>
      <c r="DN4" s="25"/>
      <c r="DO4" s="25"/>
      <c r="DP4" s="25"/>
      <c r="DQ4" s="25"/>
      <c r="DR4" s="25"/>
      <c r="DS4" s="25"/>
      <c r="DT4" s="25"/>
      <c r="DU4" s="25"/>
      <c r="DV4" s="25"/>
      <c r="DW4" s="25"/>
      <c r="DX4" s="25"/>
      <c r="DY4" s="25"/>
      <c r="DZ4" s="25"/>
      <c r="EA4" s="25"/>
      <c r="EB4" s="25"/>
      <c r="EC4" s="25"/>
      <c r="ED4" s="25"/>
      <c r="EE4" s="25"/>
      <c r="EF4" s="25"/>
      <c r="EG4" s="25"/>
      <c r="EH4" s="25"/>
      <c r="EI4" s="25"/>
      <c r="EJ4" s="25"/>
      <c r="EK4" s="25"/>
      <c r="EL4" s="25"/>
      <c r="EM4" s="25"/>
      <c r="EN4" s="25"/>
      <c r="EO4" s="25"/>
      <c r="EP4" s="25"/>
      <c r="EQ4" s="25"/>
      <c r="ER4" s="25"/>
      <c r="ES4" s="25"/>
      <c r="ET4" s="25"/>
      <c r="EU4" s="25"/>
      <c r="EV4" s="25"/>
      <c r="EW4" s="25"/>
      <c r="EX4" s="25"/>
      <c r="EY4" s="25"/>
      <c r="EZ4" s="25"/>
      <c r="FA4" s="25"/>
      <c r="FB4" s="25"/>
      <c r="FC4" s="25"/>
      <c r="FD4" s="25"/>
      <c r="FE4" s="25"/>
      <c r="FF4" s="25"/>
      <c r="FG4" s="25"/>
      <c r="FH4" s="25"/>
      <c r="FI4" s="25"/>
      <c r="FJ4" s="25"/>
      <c r="FK4" s="25"/>
      <c r="FL4" s="25"/>
      <c r="FM4" s="25"/>
      <c r="FN4" s="25"/>
      <c r="FO4" s="25"/>
      <c r="FP4" s="25"/>
      <c r="FQ4" s="25"/>
      <c r="FR4" s="25"/>
      <c r="FS4" s="25"/>
      <c r="FT4" s="25"/>
      <c r="FU4" s="25"/>
      <c r="FV4" s="25"/>
      <c r="FW4" s="25"/>
      <c r="FX4" s="25"/>
      <c r="FY4" s="25"/>
      <c r="FZ4" s="25"/>
      <c r="GA4" s="25"/>
      <c r="GB4" s="25"/>
      <c r="GC4" s="25"/>
      <c r="GD4" s="25"/>
      <c r="GE4" s="25"/>
      <c r="GF4" s="25"/>
      <c r="GG4" s="25"/>
      <c r="GH4" s="25"/>
      <c r="GI4" s="25"/>
      <c r="GJ4" s="25"/>
      <c r="GK4" s="25"/>
      <c r="GL4" s="25"/>
      <c r="GM4" s="25"/>
      <c r="GN4" s="25"/>
      <c r="GO4" s="25"/>
      <c r="GP4" s="25"/>
      <c r="GQ4" s="25"/>
      <c r="GR4" s="25"/>
      <c r="GS4" s="25"/>
      <c r="GT4" s="25"/>
      <c r="GU4" s="25"/>
      <c r="GV4" s="25"/>
      <c r="GW4" s="25"/>
      <c r="GX4" s="25"/>
      <c r="GY4" s="25"/>
      <c r="GZ4" s="25"/>
      <c r="HA4" s="25"/>
      <c r="HB4" s="25"/>
      <c r="HC4" s="25"/>
      <c r="HD4" s="25"/>
      <c r="HE4" s="25"/>
      <c r="HF4" s="25"/>
      <c r="HG4" s="25"/>
      <c r="HH4" s="25"/>
      <c r="HI4" s="25"/>
      <c r="HJ4" s="25"/>
      <c r="HK4" s="25"/>
      <c r="HL4" s="25"/>
      <c r="HM4" s="25"/>
      <c r="HN4" s="25"/>
      <c r="HO4" s="25"/>
      <c r="HP4" s="25"/>
      <c r="HQ4" s="25"/>
      <c r="HR4" s="25"/>
      <c r="HS4" s="25"/>
      <c r="HT4" s="25"/>
      <c r="HU4" s="25"/>
      <c r="HV4" s="25"/>
      <c r="HW4" s="25"/>
      <c r="HX4" s="25"/>
      <c r="HY4" s="25"/>
      <c r="HZ4" s="25"/>
      <c r="IA4" s="25"/>
      <c r="IB4" s="25"/>
      <c r="IC4" s="25"/>
      <c r="ID4" s="25"/>
      <c r="IE4" s="25"/>
      <c r="IF4" s="25"/>
      <c r="IG4" s="25"/>
      <c r="IH4" s="25"/>
      <c r="II4" s="25"/>
      <c r="IJ4" s="25"/>
      <c r="IK4" s="25"/>
      <c r="IL4" s="25"/>
      <c r="IM4" s="25"/>
      <c r="IN4" s="25"/>
      <c r="IO4" s="25"/>
      <c r="IP4" s="25"/>
      <c r="IQ4" s="25"/>
      <c r="IR4" s="25"/>
      <c r="IS4" s="25"/>
      <c r="IT4" s="25"/>
      <c r="IU4" s="25"/>
      <c r="IV4" s="25"/>
    </row>
    <row r="5" spans="1:256" s="23" customFormat="1" ht="222" customHeight="1">
      <c r="A5" s="66"/>
      <c r="B5" s="36"/>
      <c r="C5" s="36"/>
      <c r="D5" s="49" t="s">
        <v>236</v>
      </c>
      <c r="E5" s="48">
        <v>2</v>
      </c>
      <c r="F5" s="49" t="s">
        <v>393</v>
      </c>
      <c r="G5" s="188" t="s">
        <v>510</v>
      </c>
      <c r="H5" s="52" t="s">
        <v>394</v>
      </c>
      <c r="J5" s="28"/>
      <c r="K5" s="28"/>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c r="DS5" s="26"/>
      <c r="DT5" s="26"/>
      <c r="DU5" s="26"/>
      <c r="DV5" s="26"/>
      <c r="DW5" s="26"/>
      <c r="DX5" s="26"/>
      <c r="DY5" s="26"/>
      <c r="DZ5" s="26"/>
      <c r="EA5" s="26"/>
      <c r="EB5" s="26"/>
      <c r="EC5" s="26"/>
      <c r="ED5" s="26"/>
      <c r="EE5" s="26"/>
      <c r="EF5" s="26"/>
      <c r="EG5" s="26"/>
      <c r="EH5" s="26"/>
      <c r="EI5" s="26"/>
      <c r="EJ5" s="26"/>
      <c r="EK5" s="26"/>
      <c r="EL5" s="26"/>
      <c r="EM5" s="26"/>
      <c r="EN5" s="26"/>
      <c r="EO5" s="26"/>
      <c r="EP5" s="26"/>
      <c r="EQ5" s="26"/>
      <c r="ER5" s="26"/>
      <c r="ES5" s="26"/>
      <c r="ET5" s="26"/>
      <c r="EU5" s="26"/>
      <c r="EV5" s="26"/>
      <c r="EW5" s="26"/>
      <c r="EX5" s="26"/>
      <c r="EY5" s="26"/>
      <c r="EZ5" s="26"/>
      <c r="FA5" s="26"/>
      <c r="FB5" s="26"/>
      <c r="FC5" s="26"/>
      <c r="FD5" s="26"/>
      <c r="FE5" s="26"/>
      <c r="FF5" s="26"/>
      <c r="FG5" s="26"/>
      <c r="FH5" s="26"/>
      <c r="FI5" s="26"/>
      <c r="FJ5" s="26"/>
      <c r="FK5" s="26"/>
      <c r="FL5" s="26"/>
      <c r="FM5" s="26"/>
      <c r="FN5" s="26"/>
      <c r="FO5" s="26"/>
      <c r="FP5" s="26"/>
      <c r="FQ5" s="26"/>
      <c r="FR5" s="26"/>
      <c r="FS5" s="26"/>
      <c r="FT5" s="26"/>
      <c r="FU5" s="26"/>
      <c r="FV5" s="26"/>
      <c r="FW5" s="26"/>
      <c r="FX5" s="26"/>
      <c r="FY5" s="26"/>
      <c r="FZ5" s="26"/>
      <c r="GA5" s="26"/>
      <c r="GB5" s="26"/>
      <c r="GC5" s="26"/>
      <c r="GD5" s="26"/>
      <c r="GE5" s="26"/>
      <c r="GF5" s="26"/>
      <c r="GG5" s="26"/>
      <c r="GH5" s="26"/>
      <c r="GI5" s="26"/>
      <c r="GJ5" s="26"/>
      <c r="GK5" s="26"/>
      <c r="GL5" s="26"/>
      <c r="GM5" s="26"/>
      <c r="GN5" s="26"/>
      <c r="GO5" s="26"/>
      <c r="GP5" s="26"/>
      <c r="GQ5" s="26"/>
      <c r="GR5" s="26"/>
      <c r="GS5" s="26"/>
      <c r="GT5" s="26"/>
      <c r="GU5" s="26"/>
      <c r="GV5" s="26"/>
      <c r="GW5" s="26"/>
      <c r="GX5" s="26"/>
      <c r="GY5" s="26"/>
      <c r="GZ5" s="26"/>
      <c r="HA5" s="26"/>
      <c r="HB5" s="26"/>
      <c r="HC5" s="26"/>
      <c r="HD5" s="26"/>
      <c r="HE5" s="26"/>
      <c r="HF5" s="26"/>
      <c r="HG5" s="26"/>
      <c r="HH5" s="26"/>
      <c r="HI5" s="26"/>
      <c r="HJ5" s="26"/>
      <c r="HK5" s="26"/>
      <c r="HL5" s="26"/>
      <c r="HM5" s="26"/>
      <c r="HN5" s="26"/>
      <c r="HO5" s="26"/>
      <c r="HP5" s="26"/>
      <c r="HQ5" s="26"/>
      <c r="HR5" s="26"/>
      <c r="HS5" s="26"/>
      <c r="HT5" s="26"/>
      <c r="HU5" s="26"/>
      <c r="HV5" s="26"/>
      <c r="HW5" s="26"/>
      <c r="HX5" s="26"/>
      <c r="HY5" s="26"/>
      <c r="HZ5" s="26"/>
      <c r="IA5" s="26"/>
      <c r="IB5" s="26"/>
      <c r="IC5" s="26"/>
      <c r="ID5" s="26"/>
      <c r="IE5" s="26"/>
      <c r="IF5" s="26"/>
      <c r="IG5" s="26"/>
      <c r="IH5" s="26"/>
      <c r="II5" s="26"/>
      <c r="IJ5" s="26"/>
      <c r="IK5" s="26"/>
      <c r="IL5" s="26"/>
      <c r="IM5" s="26"/>
      <c r="IN5" s="26"/>
      <c r="IO5" s="26"/>
      <c r="IP5" s="26"/>
      <c r="IQ5" s="26"/>
      <c r="IR5" s="26"/>
      <c r="IS5" s="26"/>
      <c r="IT5" s="26"/>
      <c r="IU5" s="26"/>
      <c r="IV5"/>
    </row>
    <row r="6" spans="1:256" s="23" customFormat="1" ht="79.2">
      <c r="A6" s="66"/>
      <c r="B6" s="36"/>
      <c r="C6" s="36" t="s">
        <v>237</v>
      </c>
      <c r="D6" s="145" t="s">
        <v>238</v>
      </c>
      <c r="E6" s="48">
        <v>2</v>
      </c>
      <c r="F6" s="145" t="s">
        <v>477</v>
      </c>
      <c r="G6" s="140" t="s">
        <v>445</v>
      </c>
      <c r="H6" s="52" t="s">
        <v>394</v>
      </c>
      <c r="J6" s="28"/>
      <c r="K6" s="28"/>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c r="DS6" s="26"/>
      <c r="DT6" s="26"/>
      <c r="DU6" s="26"/>
      <c r="DV6" s="26"/>
      <c r="DW6" s="26"/>
      <c r="DX6" s="26"/>
      <c r="DY6" s="26"/>
      <c r="DZ6" s="26"/>
      <c r="EA6" s="26"/>
      <c r="EB6" s="26"/>
      <c r="EC6" s="26"/>
      <c r="ED6" s="26"/>
      <c r="EE6" s="26"/>
      <c r="EF6" s="26"/>
      <c r="EG6" s="26"/>
      <c r="EH6" s="26"/>
      <c r="EI6" s="26"/>
      <c r="EJ6" s="26"/>
      <c r="EK6" s="26"/>
      <c r="EL6" s="26"/>
      <c r="EM6" s="26"/>
      <c r="EN6" s="26"/>
      <c r="EO6" s="26"/>
      <c r="EP6" s="26"/>
      <c r="EQ6" s="26"/>
      <c r="ER6" s="26"/>
      <c r="ES6" s="26"/>
      <c r="ET6" s="26"/>
      <c r="EU6" s="26"/>
      <c r="EV6" s="26"/>
      <c r="EW6" s="26"/>
      <c r="EX6" s="26"/>
      <c r="EY6" s="26"/>
      <c r="EZ6" s="26"/>
      <c r="FA6" s="26"/>
      <c r="FB6" s="26"/>
      <c r="FC6" s="26"/>
      <c r="FD6" s="26"/>
      <c r="FE6" s="26"/>
      <c r="FF6" s="26"/>
      <c r="FG6" s="26"/>
      <c r="FH6" s="26"/>
      <c r="FI6" s="26"/>
      <c r="FJ6" s="26"/>
      <c r="FK6" s="26"/>
      <c r="FL6" s="26"/>
      <c r="FM6" s="26"/>
      <c r="FN6" s="26"/>
      <c r="FO6" s="26"/>
      <c r="FP6" s="26"/>
      <c r="FQ6" s="26"/>
      <c r="FR6" s="26"/>
      <c r="FS6" s="26"/>
      <c r="FT6" s="26"/>
      <c r="FU6" s="26"/>
      <c r="FV6" s="26"/>
      <c r="FW6" s="26"/>
      <c r="FX6" s="26"/>
      <c r="FY6" s="26"/>
      <c r="FZ6" s="26"/>
      <c r="GA6" s="26"/>
      <c r="GB6" s="26"/>
      <c r="GC6" s="26"/>
      <c r="GD6" s="26"/>
      <c r="GE6" s="26"/>
      <c r="GF6" s="26"/>
      <c r="GG6" s="26"/>
      <c r="GH6" s="26"/>
      <c r="GI6" s="26"/>
      <c r="GJ6" s="26"/>
      <c r="GK6" s="26"/>
      <c r="GL6" s="26"/>
      <c r="GM6" s="26"/>
      <c r="GN6" s="26"/>
      <c r="GO6" s="26"/>
      <c r="GP6" s="26"/>
      <c r="GQ6" s="26"/>
      <c r="GR6" s="26"/>
      <c r="GS6" s="26"/>
      <c r="GT6" s="26"/>
      <c r="GU6" s="26"/>
      <c r="GV6" s="26"/>
      <c r="GW6" s="26"/>
      <c r="GX6" s="26"/>
      <c r="GY6" s="26"/>
      <c r="GZ6" s="26"/>
      <c r="HA6" s="26"/>
      <c r="HB6" s="26"/>
      <c r="HC6" s="26"/>
      <c r="HD6" s="26"/>
      <c r="HE6" s="26"/>
      <c r="HF6" s="26"/>
      <c r="HG6" s="26"/>
      <c r="HH6" s="26"/>
      <c r="HI6" s="26"/>
      <c r="HJ6" s="26"/>
      <c r="HK6" s="26"/>
      <c r="HL6" s="26"/>
      <c r="HM6" s="26"/>
      <c r="HN6" s="26"/>
      <c r="HO6" s="26"/>
      <c r="HP6" s="26"/>
      <c r="HQ6" s="26"/>
      <c r="HR6" s="26"/>
      <c r="HS6" s="26"/>
      <c r="HT6" s="26"/>
      <c r="HU6" s="26"/>
      <c r="HV6" s="26"/>
      <c r="HW6" s="26"/>
      <c r="HX6" s="26"/>
      <c r="HY6" s="26"/>
      <c r="HZ6" s="26"/>
      <c r="IA6" s="26"/>
      <c r="IB6" s="26"/>
      <c r="IC6" s="26"/>
      <c r="ID6" s="26"/>
      <c r="IE6" s="26"/>
      <c r="IF6" s="26"/>
      <c r="IG6" s="26"/>
      <c r="IH6" s="26"/>
      <c r="II6" s="26"/>
      <c r="IJ6" s="26"/>
      <c r="IK6" s="26"/>
      <c r="IL6" s="26"/>
      <c r="IM6" s="26"/>
      <c r="IN6" s="26"/>
      <c r="IO6" s="26"/>
      <c r="IP6" s="26"/>
      <c r="IQ6" s="26"/>
      <c r="IR6" s="26"/>
      <c r="IS6" s="26"/>
      <c r="IT6" s="26"/>
      <c r="IU6" s="26"/>
      <c r="IV6"/>
    </row>
    <row r="7" spans="1:256" s="23" customFormat="1" ht="40.5" customHeight="1">
      <c r="A7" s="66"/>
      <c r="B7" s="36"/>
      <c r="C7" s="36"/>
      <c r="D7" s="49" t="s">
        <v>239</v>
      </c>
      <c r="E7" s="48">
        <v>2</v>
      </c>
      <c r="F7" s="49" t="s">
        <v>395</v>
      </c>
      <c r="G7" s="140" t="s">
        <v>445</v>
      </c>
      <c r="H7" s="52" t="s">
        <v>394</v>
      </c>
      <c r="J7" s="28"/>
      <c r="K7" s="28"/>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c r="CT7" s="26"/>
      <c r="CU7" s="26"/>
      <c r="CV7" s="26"/>
      <c r="CW7" s="26"/>
      <c r="CX7" s="26"/>
      <c r="CY7" s="26"/>
      <c r="CZ7" s="26"/>
      <c r="DA7" s="26"/>
      <c r="DB7" s="26"/>
      <c r="DC7" s="26"/>
      <c r="DD7" s="26"/>
      <c r="DE7" s="26"/>
      <c r="DF7" s="26"/>
      <c r="DG7" s="26"/>
      <c r="DH7" s="26"/>
      <c r="DI7" s="26"/>
      <c r="DJ7" s="26"/>
      <c r="DK7" s="26"/>
      <c r="DL7" s="26"/>
      <c r="DM7" s="26"/>
      <c r="DN7" s="26"/>
      <c r="DO7" s="26"/>
      <c r="DP7" s="26"/>
      <c r="DQ7" s="26"/>
      <c r="DR7" s="26"/>
      <c r="DS7" s="26"/>
      <c r="DT7" s="26"/>
      <c r="DU7" s="26"/>
      <c r="DV7" s="26"/>
      <c r="DW7" s="26"/>
      <c r="DX7" s="26"/>
      <c r="DY7" s="26"/>
      <c r="DZ7" s="26"/>
      <c r="EA7" s="26"/>
      <c r="EB7" s="26"/>
      <c r="EC7" s="26"/>
      <c r="ED7" s="26"/>
      <c r="EE7" s="26"/>
      <c r="EF7" s="26"/>
      <c r="EG7" s="26"/>
      <c r="EH7" s="26"/>
      <c r="EI7" s="26"/>
      <c r="EJ7" s="26"/>
      <c r="EK7" s="26"/>
      <c r="EL7" s="26"/>
      <c r="EM7" s="26"/>
      <c r="EN7" s="26"/>
      <c r="EO7" s="26"/>
      <c r="EP7" s="26"/>
      <c r="EQ7" s="26"/>
      <c r="ER7" s="26"/>
      <c r="ES7" s="26"/>
      <c r="ET7" s="26"/>
      <c r="EU7" s="26"/>
      <c r="EV7" s="26"/>
      <c r="EW7" s="26"/>
      <c r="EX7" s="26"/>
      <c r="EY7" s="26"/>
      <c r="EZ7" s="26"/>
      <c r="FA7" s="26"/>
      <c r="FB7" s="26"/>
      <c r="FC7" s="26"/>
      <c r="FD7" s="26"/>
      <c r="FE7" s="26"/>
      <c r="FF7" s="26"/>
      <c r="FG7" s="26"/>
      <c r="FH7" s="26"/>
      <c r="FI7" s="26"/>
      <c r="FJ7" s="26"/>
      <c r="FK7" s="26"/>
      <c r="FL7" s="26"/>
      <c r="FM7" s="26"/>
      <c r="FN7" s="26"/>
      <c r="FO7" s="26"/>
      <c r="FP7" s="26"/>
      <c r="FQ7" s="26"/>
      <c r="FR7" s="26"/>
      <c r="FS7" s="26"/>
      <c r="FT7" s="26"/>
      <c r="FU7" s="26"/>
      <c r="FV7" s="26"/>
      <c r="FW7" s="26"/>
      <c r="FX7" s="26"/>
      <c r="FY7" s="26"/>
      <c r="FZ7" s="26"/>
      <c r="GA7" s="26"/>
      <c r="GB7" s="26"/>
      <c r="GC7" s="26"/>
      <c r="GD7" s="26"/>
      <c r="GE7" s="26"/>
      <c r="GF7" s="26"/>
      <c r="GG7" s="26"/>
      <c r="GH7" s="26"/>
      <c r="GI7" s="26"/>
      <c r="GJ7" s="26"/>
      <c r="GK7" s="26"/>
      <c r="GL7" s="26"/>
      <c r="GM7" s="26"/>
      <c r="GN7" s="26"/>
      <c r="GO7" s="26"/>
      <c r="GP7" s="26"/>
      <c r="GQ7" s="26"/>
      <c r="GR7" s="26"/>
      <c r="GS7" s="26"/>
      <c r="GT7" s="26"/>
      <c r="GU7" s="26"/>
      <c r="GV7" s="26"/>
      <c r="GW7" s="26"/>
      <c r="GX7" s="26"/>
      <c r="GY7" s="26"/>
      <c r="GZ7" s="26"/>
      <c r="HA7" s="26"/>
      <c r="HB7" s="26"/>
      <c r="HC7" s="26"/>
      <c r="HD7" s="26"/>
      <c r="HE7" s="26"/>
      <c r="HF7" s="26"/>
      <c r="HG7" s="26"/>
      <c r="HH7" s="26"/>
      <c r="HI7" s="26"/>
      <c r="HJ7" s="26"/>
      <c r="HK7" s="26"/>
      <c r="HL7" s="26"/>
      <c r="HM7" s="26"/>
      <c r="HN7" s="26"/>
      <c r="HO7" s="26"/>
      <c r="HP7" s="26"/>
      <c r="HQ7" s="26"/>
      <c r="HR7" s="26"/>
      <c r="HS7" s="26"/>
      <c r="HT7" s="26"/>
      <c r="HU7" s="26"/>
      <c r="HV7" s="26"/>
      <c r="HW7" s="26"/>
      <c r="HX7" s="26"/>
      <c r="HY7" s="26"/>
      <c r="HZ7" s="26"/>
      <c r="IA7" s="26"/>
      <c r="IB7" s="26"/>
      <c r="IC7" s="26"/>
      <c r="ID7" s="26"/>
      <c r="IE7" s="26"/>
      <c r="IF7" s="26"/>
      <c r="IG7" s="26"/>
      <c r="IH7" s="26"/>
      <c r="II7" s="26"/>
      <c r="IJ7" s="26"/>
      <c r="IK7" s="26"/>
      <c r="IL7" s="26"/>
      <c r="IM7" s="26"/>
      <c r="IN7" s="26"/>
      <c r="IO7" s="26"/>
      <c r="IP7" s="26"/>
      <c r="IQ7" s="26"/>
      <c r="IR7" s="26"/>
      <c r="IS7" s="26"/>
      <c r="IT7" s="26"/>
      <c r="IU7" s="26"/>
      <c r="IV7"/>
    </row>
    <row r="8" spans="1:256" s="23" customFormat="1" ht="66">
      <c r="A8" s="66"/>
      <c r="B8" s="36"/>
      <c r="C8" s="36" t="s">
        <v>240</v>
      </c>
      <c r="D8" s="49" t="s">
        <v>241</v>
      </c>
      <c r="E8" s="48">
        <v>2</v>
      </c>
      <c r="F8" s="49" t="s">
        <v>396</v>
      </c>
      <c r="G8" s="140" t="s">
        <v>446</v>
      </c>
      <c r="H8" s="181" t="s">
        <v>497</v>
      </c>
      <c r="J8" s="28"/>
      <c r="K8" s="28"/>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c r="BZ8" s="26"/>
      <c r="CA8" s="26"/>
      <c r="CB8" s="26"/>
      <c r="CC8" s="26"/>
      <c r="CD8" s="26"/>
      <c r="CE8" s="26"/>
      <c r="CF8" s="26"/>
      <c r="CG8" s="26"/>
      <c r="CH8" s="26"/>
      <c r="CI8" s="26"/>
      <c r="CJ8" s="26"/>
      <c r="CK8" s="26"/>
      <c r="CL8" s="26"/>
      <c r="CM8" s="26"/>
      <c r="CN8" s="26"/>
      <c r="CO8" s="26"/>
      <c r="CP8" s="26"/>
      <c r="CQ8" s="26"/>
      <c r="CR8" s="26"/>
      <c r="CS8" s="26"/>
      <c r="CT8" s="26"/>
      <c r="CU8" s="26"/>
      <c r="CV8" s="26"/>
      <c r="CW8" s="26"/>
      <c r="CX8" s="26"/>
      <c r="CY8" s="26"/>
      <c r="CZ8" s="26"/>
      <c r="DA8" s="26"/>
      <c r="DB8" s="26"/>
      <c r="DC8" s="26"/>
      <c r="DD8" s="26"/>
      <c r="DE8" s="26"/>
      <c r="DF8" s="26"/>
      <c r="DG8" s="26"/>
      <c r="DH8" s="26"/>
      <c r="DI8" s="26"/>
      <c r="DJ8" s="26"/>
      <c r="DK8" s="26"/>
      <c r="DL8" s="26"/>
      <c r="DM8" s="26"/>
      <c r="DN8" s="26"/>
      <c r="DO8" s="26"/>
      <c r="DP8" s="26"/>
      <c r="DQ8" s="26"/>
      <c r="DR8" s="26"/>
      <c r="DS8" s="26"/>
      <c r="DT8" s="26"/>
      <c r="DU8" s="26"/>
      <c r="DV8" s="26"/>
      <c r="DW8" s="26"/>
      <c r="DX8" s="26"/>
      <c r="DY8" s="26"/>
      <c r="DZ8" s="26"/>
      <c r="EA8" s="26"/>
      <c r="EB8" s="26"/>
      <c r="EC8" s="26"/>
      <c r="ED8" s="26"/>
      <c r="EE8" s="26"/>
      <c r="EF8" s="26"/>
      <c r="EG8" s="26"/>
      <c r="EH8" s="26"/>
      <c r="EI8" s="26"/>
      <c r="EJ8" s="26"/>
      <c r="EK8" s="26"/>
      <c r="EL8" s="26"/>
      <c r="EM8" s="26"/>
      <c r="EN8" s="26"/>
      <c r="EO8" s="26"/>
      <c r="EP8" s="26"/>
      <c r="EQ8" s="26"/>
      <c r="ER8" s="26"/>
      <c r="ES8" s="26"/>
      <c r="ET8" s="26"/>
      <c r="EU8" s="26"/>
      <c r="EV8" s="26"/>
      <c r="EW8" s="26"/>
      <c r="EX8" s="26"/>
      <c r="EY8" s="26"/>
      <c r="EZ8" s="26"/>
      <c r="FA8" s="26"/>
      <c r="FB8" s="26"/>
      <c r="FC8" s="26"/>
      <c r="FD8" s="26"/>
      <c r="FE8" s="26"/>
      <c r="FF8" s="26"/>
      <c r="FG8" s="26"/>
      <c r="FH8" s="26"/>
      <c r="FI8" s="26"/>
      <c r="FJ8" s="26"/>
      <c r="FK8" s="26"/>
      <c r="FL8" s="26"/>
      <c r="FM8" s="26"/>
      <c r="FN8" s="26"/>
      <c r="FO8" s="26"/>
      <c r="FP8" s="26"/>
      <c r="FQ8" s="26"/>
      <c r="FR8" s="26"/>
      <c r="FS8" s="26"/>
      <c r="FT8" s="26"/>
      <c r="FU8" s="26"/>
      <c r="FV8" s="26"/>
      <c r="FW8" s="26"/>
      <c r="FX8" s="26"/>
      <c r="FY8" s="26"/>
      <c r="FZ8" s="26"/>
      <c r="GA8" s="26"/>
      <c r="GB8" s="26"/>
      <c r="GC8" s="26"/>
      <c r="GD8" s="26"/>
      <c r="GE8" s="26"/>
      <c r="GF8" s="26"/>
      <c r="GG8" s="26"/>
      <c r="GH8" s="26"/>
      <c r="GI8" s="26"/>
      <c r="GJ8" s="26"/>
      <c r="GK8" s="26"/>
      <c r="GL8" s="26"/>
      <c r="GM8" s="26"/>
      <c r="GN8" s="26"/>
      <c r="GO8" s="26"/>
      <c r="GP8" s="26"/>
      <c r="GQ8" s="26"/>
      <c r="GR8" s="26"/>
      <c r="GS8" s="26"/>
      <c r="GT8" s="26"/>
      <c r="GU8" s="26"/>
      <c r="GV8" s="26"/>
      <c r="GW8" s="26"/>
      <c r="GX8" s="26"/>
      <c r="GY8" s="26"/>
      <c r="GZ8" s="26"/>
      <c r="HA8" s="26"/>
      <c r="HB8" s="26"/>
      <c r="HC8" s="26"/>
      <c r="HD8" s="26"/>
      <c r="HE8" s="26"/>
      <c r="HF8" s="26"/>
      <c r="HG8" s="26"/>
      <c r="HH8" s="26"/>
      <c r="HI8" s="26"/>
      <c r="HJ8" s="26"/>
      <c r="HK8" s="26"/>
      <c r="HL8" s="26"/>
      <c r="HM8" s="26"/>
      <c r="HN8" s="26"/>
      <c r="HO8" s="26"/>
      <c r="HP8" s="26"/>
      <c r="HQ8" s="26"/>
      <c r="HR8" s="26"/>
      <c r="HS8" s="26"/>
      <c r="HT8" s="26"/>
      <c r="HU8" s="26"/>
      <c r="HV8" s="26"/>
      <c r="HW8" s="26"/>
      <c r="HX8" s="26"/>
      <c r="HY8" s="26"/>
      <c r="HZ8" s="26"/>
      <c r="IA8" s="26"/>
      <c r="IB8" s="26"/>
      <c r="IC8" s="26"/>
      <c r="ID8" s="26"/>
      <c r="IE8" s="26"/>
      <c r="IF8" s="26"/>
      <c r="IG8" s="26"/>
      <c r="IH8" s="26"/>
      <c r="II8" s="26"/>
      <c r="IJ8" s="26"/>
      <c r="IK8" s="26"/>
      <c r="IL8" s="26"/>
      <c r="IM8" s="26"/>
      <c r="IN8" s="26"/>
      <c r="IO8" s="26"/>
      <c r="IP8" s="26"/>
      <c r="IQ8" s="26"/>
      <c r="IR8" s="26"/>
      <c r="IS8" s="26"/>
      <c r="IT8" s="26"/>
      <c r="IU8" s="26"/>
      <c r="IV8"/>
    </row>
    <row r="9" spans="1:256" s="23" customFormat="1" ht="78.599999999999994" customHeight="1">
      <c r="A9" s="66"/>
      <c r="B9" s="36"/>
      <c r="C9" s="36"/>
      <c r="D9" s="49" t="s">
        <v>242</v>
      </c>
      <c r="E9" s="48">
        <v>2</v>
      </c>
      <c r="F9" s="49" t="s">
        <v>396</v>
      </c>
      <c r="G9" s="145" t="s">
        <v>498</v>
      </c>
      <c r="H9" s="141" t="s">
        <v>447</v>
      </c>
      <c r="J9" s="28"/>
      <c r="K9" s="28"/>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6"/>
      <c r="CC9" s="26"/>
      <c r="CD9" s="26"/>
      <c r="CE9" s="26"/>
      <c r="CF9" s="26"/>
      <c r="CG9" s="26"/>
      <c r="CH9" s="26"/>
      <c r="CI9" s="26"/>
      <c r="CJ9" s="26"/>
      <c r="CK9" s="26"/>
      <c r="CL9" s="26"/>
      <c r="CM9" s="26"/>
      <c r="CN9" s="26"/>
      <c r="CO9" s="26"/>
      <c r="CP9" s="26"/>
      <c r="CQ9" s="26"/>
      <c r="CR9" s="26"/>
      <c r="CS9" s="26"/>
      <c r="CT9" s="26"/>
      <c r="CU9" s="26"/>
      <c r="CV9" s="26"/>
      <c r="CW9" s="26"/>
      <c r="CX9" s="26"/>
      <c r="CY9" s="26"/>
      <c r="CZ9" s="26"/>
      <c r="DA9" s="26"/>
      <c r="DB9" s="26"/>
      <c r="DC9" s="26"/>
      <c r="DD9" s="26"/>
      <c r="DE9" s="26"/>
      <c r="DF9" s="26"/>
      <c r="DG9" s="26"/>
      <c r="DH9" s="26"/>
      <c r="DI9" s="26"/>
      <c r="DJ9" s="26"/>
      <c r="DK9" s="26"/>
      <c r="DL9" s="26"/>
      <c r="DM9" s="26"/>
      <c r="DN9" s="26"/>
      <c r="DO9" s="26"/>
      <c r="DP9" s="26"/>
      <c r="DQ9" s="26"/>
      <c r="DR9" s="26"/>
      <c r="DS9" s="26"/>
      <c r="DT9" s="26"/>
      <c r="DU9" s="26"/>
      <c r="DV9" s="26"/>
      <c r="DW9" s="26"/>
      <c r="DX9" s="26"/>
      <c r="DY9" s="26"/>
      <c r="DZ9" s="26"/>
      <c r="EA9" s="26"/>
      <c r="EB9" s="26"/>
      <c r="EC9" s="26"/>
      <c r="ED9" s="26"/>
      <c r="EE9" s="26"/>
      <c r="EF9" s="26"/>
      <c r="EG9" s="26"/>
      <c r="EH9" s="26"/>
      <c r="EI9" s="26"/>
      <c r="EJ9" s="26"/>
      <c r="EK9" s="26"/>
      <c r="EL9" s="26"/>
      <c r="EM9" s="26"/>
      <c r="EN9" s="26"/>
      <c r="EO9" s="26"/>
      <c r="EP9" s="26"/>
      <c r="EQ9" s="26"/>
      <c r="ER9" s="26"/>
      <c r="ES9" s="26"/>
      <c r="ET9" s="26"/>
      <c r="EU9" s="26"/>
      <c r="EV9" s="26"/>
      <c r="EW9" s="26"/>
      <c r="EX9" s="26"/>
      <c r="EY9" s="26"/>
      <c r="EZ9" s="26"/>
      <c r="FA9" s="26"/>
      <c r="FB9" s="26"/>
      <c r="FC9" s="26"/>
      <c r="FD9" s="26"/>
      <c r="FE9" s="26"/>
      <c r="FF9" s="26"/>
      <c r="FG9" s="26"/>
      <c r="FH9" s="26"/>
      <c r="FI9" s="26"/>
      <c r="FJ9" s="26"/>
      <c r="FK9" s="26"/>
      <c r="FL9" s="26"/>
      <c r="FM9" s="26"/>
      <c r="FN9" s="26"/>
      <c r="FO9" s="26"/>
      <c r="FP9" s="26"/>
      <c r="FQ9" s="26"/>
      <c r="FR9" s="26"/>
      <c r="FS9" s="26"/>
      <c r="FT9" s="26"/>
      <c r="FU9" s="26"/>
      <c r="FV9" s="26"/>
      <c r="FW9" s="26"/>
      <c r="FX9" s="26"/>
      <c r="FY9" s="26"/>
      <c r="FZ9" s="26"/>
      <c r="GA9" s="26"/>
      <c r="GB9" s="26"/>
      <c r="GC9" s="26"/>
      <c r="GD9" s="26"/>
      <c r="GE9" s="26"/>
      <c r="GF9" s="26"/>
      <c r="GG9" s="26"/>
      <c r="GH9" s="26"/>
      <c r="GI9" s="26"/>
      <c r="GJ9" s="26"/>
      <c r="GK9" s="26"/>
      <c r="GL9" s="26"/>
      <c r="GM9" s="26"/>
      <c r="GN9" s="26"/>
      <c r="GO9" s="26"/>
      <c r="GP9" s="26"/>
      <c r="GQ9" s="26"/>
      <c r="GR9" s="26"/>
      <c r="GS9" s="26"/>
      <c r="GT9" s="26"/>
      <c r="GU9" s="26"/>
      <c r="GV9" s="26"/>
      <c r="GW9" s="26"/>
      <c r="GX9" s="26"/>
      <c r="GY9" s="26"/>
      <c r="GZ9" s="26"/>
      <c r="HA9" s="26"/>
      <c r="HB9" s="26"/>
      <c r="HC9" s="26"/>
      <c r="HD9" s="26"/>
      <c r="HE9" s="26"/>
      <c r="HF9" s="26"/>
      <c r="HG9" s="26"/>
      <c r="HH9" s="26"/>
      <c r="HI9" s="26"/>
      <c r="HJ9" s="26"/>
      <c r="HK9" s="26"/>
      <c r="HL9" s="26"/>
      <c r="HM9" s="26"/>
      <c r="HN9" s="26"/>
      <c r="HO9" s="26"/>
      <c r="HP9" s="26"/>
      <c r="HQ9" s="26"/>
      <c r="HR9" s="26"/>
      <c r="HS9" s="26"/>
      <c r="HT9" s="26"/>
      <c r="HU9" s="26"/>
      <c r="HV9" s="26"/>
      <c r="HW9" s="26"/>
      <c r="HX9" s="26"/>
      <c r="HY9" s="26"/>
      <c r="HZ9" s="26"/>
      <c r="IA9" s="26"/>
      <c r="IB9" s="26"/>
      <c r="IC9" s="26"/>
      <c r="ID9" s="26"/>
      <c r="IE9" s="26"/>
      <c r="IF9" s="26"/>
      <c r="IG9" s="26"/>
      <c r="IH9" s="26"/>
      <c r="II9" s="26"/>
      <c r="IJ9" s="26"/>
      <c r="IK9" s="26"/>
      <c r="IL9" s="26"/>
      <c r="IM9" s="26"/>
      <c r="IN9" s="26"/>
      <c r="IO9" s="26"/>
      <c r="IP9" s="26"/>
      <c r="IQ9" s="26"/>
      <c r="IR9" s="26"/>
      <c r="IS9" s="26"/>
      <c r="IT9" s="26"/>
      <c r="IU9" s="26"/>
      <c r="IV9"/>
    </row>
    <row r="10" spans="1:256" s="23" customFormat="1" ht="92.4">
      <c r="A10" s="66"/>
      <c r="B10" s="36"/>
      <c r="C10" s="36"/>
      <c r="D10" s="49" t="s">
        <v>243</v>
      </c>
      <c r="E10" s="48">
        <v>2</v>
      </c>
      <c r="F10" s="142" t="s">
        <v>448</v>
      </c>
      <c r="G10" s="145" t="s">
        <v>499</v>
      </c>
      <c r="H10" s="52" t="s">
        <v>397</v>
      </c>
      <c r="J10" s="28"/>
      <c r="K10" s="28"/>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c r="CC10" s="26"/>
      <c r="CD10" s="26"/>
      <c r="CE10" s="26"/>
      <c r="CF10" s="26"/>
      <c r="CG10" s="26"/>
      <c r="CH10" s="26"/>
      <c r="CI10" s="26"/>
      <c r="CJ10" s="26"/>
      <c r="CK10" s="26"/>
      <c r="CL10" s="26"/>
      <c r="CM10" s="26"/>
      <c r="CN10" s="26"/>
      <c r="CO10" s="26"/>
      <c r="CP10" s="26"/>
      <c r="CQ10" s="26"/>
      <c r="CR10" s="26"/>
      <c r="CS10" s="26"/>
      <c r="CT10" s="26"/>
      <c r="CU10" s="26"/>
      <c r="CV10" s="26"/>
      <c r="CW10" s="26"/>
      <c r="CX10" s="26"/>
      <c r="CY10" s="26"/>
      <c r="CZ10" s="26"/>
      <c r="DA10" s="26"/>
      <c r="DB10" s="26"/>
      <c r="DC10" s="26"/>
      <c r="DD10" s="26"/>
      <c r="DE10" s="26"/>
      <c r="DF10" s="26"/>
      <c r="DG10" s="26"/>
      <c r="DH10" s="26"/>
      <c r="DI10" s="26"/>
      <c r="DJ10" s="26"/>
      <c r="DK10" s="26"/>
      <c r="DL10" s="26"/>
      <c r="DM10" s="26"/>
      <c r="DN10" s="26"/>
      <c r="DO10" s="26"/>
      <c r="DP10" s="26"/>
      <c r="DQ10" s="26"/>
      <c r="DR10" s="26"/>
      <c r="DS10" s="26"/>
      <c r="DT10" s="26"/>
      <c r="DU10" s="26"/>
      <c r="DV10" s="26"/>
      <c r="DW10" s="26"/>
      <c r="DX10" s="26"/>
      <c r="DY10" s="26"/>
      <c r="DZ10" s="26"/>
      <c r="EA10" s="26"/>
      <c r="EB10" s="26"/>
      <c r="EC10" s="26"/>
      <c r="ED10" s="26"/>
      <c r="EE10" s="26"/>
      <c r="EF10" s="26"/>
      <c r="EG10" s="26"/>
      <c r="EH10" s="26"/>
      <c r="EI10" s="26"/>
      <c r="EJ10" s="26"/>
      <c r="EK10" s="26"/>
      <c r="EL10" s="26"/>
      <c r="EM10" s="26"/>
      <c r="EN10" s="26"/>
      <c r="EO10" s="26"/>
      <c r="EP10" s="26"/>
      <c r="EQ10" s="26"/>
      <c r="ER10" s="26"/>
      <c r="ES10" s="26"/>
      <c r="ET10" s="26"/>
      <c r="EU10" s="26"/>
      <c r="EV10" s="26"/>
      <c r="EW10" s="26"/>
      <c r="EX10" s="26"/>
      <c r="EY10" s="26"/>
      <c r="EZ10" s="26"/>
      <c r="FA10" s="26"/>
      <c r="FB10" s="26"/>
      <c r="FC10" s="26"/>
      <c r="FD10" s="26"/>
      <c r="FE10" s="26"/>
      <c r="FF10" s="26"/>
      <c r="FG10" s="26"/>
      <c r="FH10" s="26"/>
      <c r="FI10" s="26"/>
      <c r="FJ10" s="26"/>
      <c r="FK10" s="26"/>
      <c r="FL10" s="26"/>
      <c r="FM10" s="26"/>
      <c r="FN10" s="26"/>
      <c r="FO10" s="26"/>
      <c r="FP10" s="26"/>
      <c r="FQ10" s="26"/>
      <c r="FR10" s="26"/>
      <c r="FS10" s="26"/>
      <c r="FT10" s="26"/>
      <c r="FU10" s="26"/>
      <c r="FV10" s="26"/>
      <c r="FW10" s="26"/>
      <c r="FX10" s="26"/>
      <c r="FY10" s="26"/>
      <c r="FZ10" s="26"/>
      <c r="GA10" s="26"/>
      <c r="GB10" s="26"/>
      <c r="GC10" s="26"/>
      <c r="GD10" s="26"/>
      <c r="GE10" s="26"/>
      <c r="GF10" s="26"/>
      <c r="GG10" s="26"/>
      <c r="GH10" s="26"/>
      <c r="GI10" s="26"/>
      <c r="GJ10" s="26"/>
      <c r="GK10" s="26"/>
      <c r="GL10" s="26"/>
      <c r="GM10" s="26"/>
      <c r="GN10" s="26"/>
      <c r="GO10" s="26"/>
      <c r="GP10" s="26"/>
      <c r="GQ10" s="26"/>
      <c r="GR10" s="26"/>
      <c r="GS10" s="26"/>
      <c r="GT10" s="26"/>
      <c r="GU10" s="26"/>
      <c r="GV10" s="26"/>
      <c r="GW10" s="26"/>
      <c r="GX10" s="26"/>
      <c r="GY10" s="26"/>
      <c r="GZ10" s="26"/>
      <c r="HA10" s="26"/>
      <c r="HB10" s="26"/>
      <c r="HC10" s="26"/>
      <c r="HD10" s="26"/>
      <c r="HE10" s="26"/>
      <c r="HF10" s="26"/>
      <c r="HG10" s="26"/>
      <c r="HH10" s="26"/>
      <c r="HI10" s="26"/>
      <c r="HJ10" s="26"/>
      <c r="HK10" s="26"/>
      <c r="HL10" s="26"/>
      <c r="HM10" s="26"/>
      <c r="HN10" s="26"/>
      <c r="HO10" s="26"/>
      <c r="HP10" s="26"/>
      <c r="HQ10" s="26"/>
      <c r="HR10" s="26"/>
      <c r="HS10" s="26"/>
      <c r="HT10" s="26"/>
      <c r="HU10" s="26"/>
      <c r="HV10" s="26"/>
      <c r="HW10" s="26"/>
      <c r="HX10" s="26"/>
      <c r="HY10" s="26"/>
      <c r="HZ10" s="26"/>
      <c r="IA10" s="26"/>
      <c r="IB10" s="26"/>
      <c r="IC10" s="26"/>
      <c r="ID10" s="26"/>
      <c r="IE10" s="26"/>
      <c r="IF10" s="26"/>
      <c r="IG10" s="26"/>
      <c r="IH10" s="26"/>
      <c r="II10" s="26"/>
      <c r="IJ10" s="26"/>
      <c r="IK10" s="26"/>
      <c r="IL10" s="26"/>
      <c r="IM10" s="26"/>
      <c r="IN10" s="26"/>
      <c r="IO10" s="26"/>
      <c r="IP10" s="26"/>
      <c r="IQ10" s="26"/>
      <c r="IR10" s="26"/>
      <c r="IS10" s="26"/>
      <c r="IT10" s="26"/>
      <c r="IU10" s="26"/>
      <c r="IV10"/>
    </row>
    <row r="11" spans="1:256" s="23" customFormat="1" ht="224.4" customHeight="1">
      <c r="A11" s="45">
        <v>2</v>
      </c>
      <c r="B11" s="36" t="s">
        <v>244</v>
      </c>
      <c r="C11" s="36" t="s">
        <v>245</v>
      </c>
      <c r="D11" s="49" t="s">
        <v>246</v>
      </c>
      <c r="E11" s="48">
        <v>2</v>
      </c>
      <c r="F11" s="49" t="s">
        <v>398</v>
      </c>
      <c r="G11" s="188" t="s">
        <v>510</v>
      </c>
      <c r="H11" s="52" t="s">
        <v>394</v>
      </c>
      <c r="J11" s="28"/>
      <c r="K11" s="28"/>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c r="CC11" s="26"/>
      <c r="CD11" s="26"/>
      <c r="CE11" s="26"/>
      <c r="CF11" s="26"/>
      <c r="CG11" s="26"/>
      <c r="CH11" s="26"/>
      <c r="CI11" s="26"/>
      <c r="CJ11" s="26"/>
      <c r="CK11" s="26"/>
      <c r="CL11" s="26"/>
      <c r="CM11" s="26"/>
      <c r="CN11" s="26"/>
      <c r="CO11" s="26"/>
      <c r="CP11" s="26"/>
      <c r="CQ11" s="26"/>
      <c r="CR11" s="26"/>
      <c r="CS11" s="26"/>
      <c r="CT11" s="26"/>
      <c r="CU11" s="26"/>
      <c r="CV11" s="26"/>
      <c r="CW11" s="26"/>
      <c r="CX11" s="26"/>
      <c r="CY11" s="26"/>
      <c r="CZ11" s="26"/>
      <c r="DA11" s="26"/>
      <c r="DB11" s="26"/>
      <c r="DC11" s="26"/>
      <c r="DD11" s="26"/>
      <c r="DE11" s="26"/>
      <c r="DF11" s="26"/>
      <c r="DG11" s="26"/>
      <c r="DH11" s="26"/>
      <c r="DI11" s="26"/>
      <c r="DJ11" s="26"/>
      <c r="DK11" s="26"/>
      <c r="DL11" s="26"/>
      <c r="DM11" s="26"/>
      <c r="DN11" s="26"/>
      <c r="DO11" s="26"/>
      <c r="DP11" s="26"/>
      <c r="DQ11" s="26"/>
      <c r="DR11" s="26"/>
      <c r="DS11" s="26"/>
      <c r="DT11" s="26"/>
      <c r="DU11" s="26"/>
      <c r="DV11" s="26"/>
      <c r="DW11" s="26"/>
      <c r="DX11" s="26"/>
      <c r="DY11" s="26"/>
      <c r="DZ11" s="26"/>
      <c r="EA11" s="26"/>
      <c r="EB11" s="26"/>
      <c r="EC11" s="26"/>
      <c r="ED11" s="26"/>
      <c r="EE11" s="26"/>
      <c r="EF11" s="26"/>
      <c r="EG11" s="26"/>
      <c r="EH11" s="26"/>
      <c r="EI11" s="26"/>
      <c r="EJ11" s="26"/>
      <c r="EK11" s="26"/>
      <c r="EL11" s="26"/>
      <c r="EM11" s="26"/>
      <c r="EN11" s="26"/>
      <c r="EO11" s="26"/>
      <c r="EP11" s="26"/>
      <c r="EQ11" s="26"/>
      <c r="ER11" s="26"/>
      <c r="ES11" s="26"/>
      <c r="ET11" s="26"/>
      <c r="EU11" s="26"/>
      <c r="EV11" s="26"/>
      <c r="EW11" s="26"/>
      <c r="EX11" s="26"/>
      <c r="EY11" s="26"/>
      <c r="EZ11" s="26"/>
      <c r="FA11" s="26"/>
      <c r="FB11" s="26"/>
      <c r="FC11" s="26"/>
      <c r="FD11" s="26"/>
      <c r="FE11" s="26"/>
      <c r="FF11" s="26"/>
      <c r="FG11" s="26"/>
      <c r="FH11" s="26"/>
      <c r="FI11" s="26"/>
      <c r="FJ11" s="26"/>
      <c r="FK11" s="26"/>
      <c r="FL11" s="26"/>
      <c r="FM11" s="26"/>
      <c r="FN11" s="26"/>
      <c r="FO11" s="26"/>
      <c r="FP11" s="26"/>
      <c r="FQ11" s="26"/>
      <c r="FR11" s="26"/>
      <c r="FS11" s="26"/>
      <c r="FT11" s="26"/>
      <c r="FU11" s="26"/>
      <c r="FV11" s="26"/>
      <c r="FW11" s="26"/>
      <c r="FX11" s="26"/>
      <c r="FY11" s="26"/>
      <c r="FZ11" s="26"/>
      <c r="GA11" s="26"/>
      <c r="GB11" s="26"/>
      <c r="GC11" s="26"/>
      <c r="GD11" s="26"/>
      <c r="GE11" s="26"/>
      <c r="GF11" s="26"/>
      <c r="GG11" s="26"/>
      <c r="GH11" s="26"/>
      <c r="GI11" s="26"/>
      <c r="GJ11" s="26"/>
      <c r="GK11" s="26"/>
      <c r="GL11" s="26"/>
      <c r="GM11" s="26"/>
      <c r="GN11" s="26"/>
      <c r="GO11" s="26"/>
      <c r="GP11" s="26"/>
      <c r="GQ11" s="26"/>
      <c r="GR11" s="26"/>
      <c r="GS11" s="26"/>
      <c r="GT11" s="26"/>
      <c r="GU11" s="26"/>
      <c r="GV11" s="26"/>
      <c r="GW11" s="26"/>
      <c r="GX11" s="26"/>
      <c r="GY11" s="26"/>
      <c r="GZ11" s="26"/>
      <c r="HA11" s="26"/>
      <c r="HB11" s="26"/>
      <c r="HC11" s="26"/>
      <c r="HD11" s="26"/>
      <c r="HE11" s="26"/>
      <c r="HF11" s="26"/>
      <c r="HG11" s="26"/>
      <c r="HH11" s="26"/>
      <c r="HI11" s="26"/>
      <c r="HJ11" s="26"/>
      <c r="HK11" s="26"/>
      <c r="HL11" s="26"/>
      <c r="HM11" s="26"/>
      <c r="HN11" s="26"/>
      <c r="HO11" s="26"/>
      <c r="HP11" s="26"/>
      <c r="HQ11" s="26"/>
      <c r="HR11" s="26"/>
      <c r="HS11" s="26"/>
      <c r="HT11" s="26"/>
      <c r="HU11" s="26"/>
      <c r="HV11" s="26"/>
      <c r="HW11" s="26"/>
      <c r="HX11" s="26"/>
      <c r="HY11" s="26"/>
      <c r="HZ11" s="26"/>
      <c r="IA11" s="26"/>
      <c r="IB11" s="26"/>
      <c r="IC11" s="26"/>
      <c r="ID11" s="26"/>
      <c r="IE11" s="26"/>
      <c r="IF11" s="26"/>
      <c r="IG11" s="26"/>
      <c r="IH11" s="26"/>
      <c r="II11" s="26"/>
      <c r="IJ11" s="26"/>
      <c r="IK11" s="26"/>
      <c r="IL11" s="26"/>
      <c r="IM11" s="26"/>
      <c r="IN11" s="26"/>
      <c r="IO11" s="26"/>
      <c r="IP11" s="26"/>
      <c r="IQ11" s="26"/>
      <c r="IR11" s="26"/>
      <c r="IS11" s="26"/>
      <c r="IT11" s="26"/>
      <c r="IU11" s="26"/>
      <c r="IV11"/>
    </row>
    <row r="12" spans="1:256" s="23" customFormat="1" ht="291.60000000000002" customHeight="1">
      <c r="A12" s="66"/>
      <c r="B12" s="36"/>
      <c r="C12" s="36"/>
      <c r="D12" s="49" t="s">
        <v>247</v>
      </c>
      <c r="E12" s="48">
        <v>1</v>
      </c>
      <c r="F12" s="140" t="s">
        <v>449</v>
      </c>
      <c r="G12" s="146" t="s">
        <v>511</v>
      </c>
      <c r="H12" s="52" t="s">
        <v>394</v>
      </c>
      <c r="J12" s="28"/>
      <c r="K12" s="28"/>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c r="FI12" s="26"/>
      <c r="FJ12" s="26"/>
      <c r="FK12" s="26"/>
      <c r="FL12" s="26"/>
      <c r="FM12" s="26"/>
      <c r="FN12" s="26"/>
      <c r="FO12" s="26"/>
      <c r="FP12" s="26"/>
      <c r="FQ12" s="26"/>
      <c r="FR12" s="26"/>
      <c r="FS12" s="26"/>
      <c r="FT12" s="26"/>
      <c r="FU12" s="26"/>
      <c r="FV12" s="26"/>
      <c r="FW12" s="26"/>
      <c r="FX12" s="26"/>
      <c r="FY12" s="26"/>
      <c r="FZ12" s="26"/>
      <c r="GA12" s="26"/>
      <c r="GB12" s="26"/>
      <c r="GC12" s="26"/>
      <c r="GD12" s="26"/>
      <c r="GE12" s="26"/>
      <c r="GF12" s="26"/>
      <c r="GG12" s="26"/>
      <c r="GH12" s="26"/>
      <c r="GI12" s="26"/>
      <c r="GJ12" s="26"/>
      <c r="GK12" s="26"/>
      <c r="GL12" s="26"/>
      <c r="GM12" s="26"/>
      <c r="GN12" s="26"/>
      <c r="GO12" s="26"/>
      <c r="GP12" s="26"/>
      <c r="GQ12" s="26"/>
      <c r="GR12" s="26"/>
      <c r="GS12" s="26"/>
      <c r="GT12" s="26"/>
      <c r="GU12" s="26"/>
      <c r="GV12" s="26"/>
      <c r="GW12" s="26"/>
      <c r="GX12" s="26"/>
      <c r="GY12" s="26"/>
      <c r="GZ12" s="26"/>
      <c r="HA12" s="26"/>
      <c r="HB12" s="26"/>
      <c r="HC12" s="26"/>
      <c r="HD12" s="26"/>
      <c r="HE12" s="26"/>
      <c r="HF12" s="26"/>
      <c r="HG12" s="26"/>
      <c r="HH12" s="26"/>
      <c r="HI12" s="26"/>
      <c r="HJ12" s="26"/>
      <c r="HK12" s="26"/>
      <c r="HL12" s="26"/>
      <c r="HM12" s="26"/>
      <c r="HN12" s="26"/>
      <c r="HO12" s="26"/>
      <c r="HP12" s="26"/>
      <c r="HQ12" s="26"/>
      <c r="HR12" s="26"/>
      <c r="HS12" s="26"/>
      <c r="HT12" s="26"/>
      <c r="HU12" s="26"/>
      <c r="HV12" s="26"/>
      <c r="HW12" s="26"/>
      <c r="HX12" s="26"/>
      <c r="HY12" s="26"/>
      <c r="HZ12" s="26"/>
      <c r="IA12" s="26"/>
      <c r="IB12" s="26"/>
      <c r="IC12" s="26"/>
      <c r="ID12" s="26"/>
      <c r="IE12" s="26"/>
      <c r="IF12" s="26"/>
      <c r="IG12" s="26"/>
      <c r="IH12" s="26"/>
      <c r="II12" s="26"/>
      <c r="IJ12" s="26"/>
      <c r="IK12" s="26"/>
      <c r="IL12" s="26"/>
      <c r="IM12" s="26"/>
      <c r="IN12" s="26"/>
      <c r="IO12" s="26"/>
      <c r="IP12" s="26"/>
      <c r="IQ12" s="26"/>
      <c r="IR12" s="26"/>
      <c r="IS12" s="26"/>
      <c r="IT12" s="26"/>
      <c r="IU12" s="26"/>
      <c r="IV12"/>
    </row>
    <row r="13" spans="1:256" s="23" customFormat="1" ht="105.6">
      <c r="A13" s="66"/>
      <c r="B13" s="36"/>
      <c r="C13" s="36"/>
      <c r="D13" s="49" t="s">
        <v>248</v>
      </c>
      <c r="E13" s="48">
        <v>2</v>
      </c>
      <c r="F13" s="49" t="s">
        <v>399</v>
      </c>
      <c r="G13" s="49" t="s">
        <v>490</v>
      </c>
      <c r="H13" s="52" t="s">
        <v>394</v>
      </c>
      <c r="J13" s="28"/>
      <c r="K13" s="28"/>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c r="DD13" s="26"/>
      <c r="DE13" s="26"/>
      <c r="DF13" s="26"/>
      <c r="DG13" s="26"/>
      <c r="DH13" s="26"/>
      <c r="DI13" s="26"/>
      <c r="DJ13" s="26"/>
      <c r="DK13" s="26"/>
      <c r="DL13" s="26"/>
      <c r="DM13" s="26"/>
      <c r="DN13" s="26"/>
      <c r="DO13" s="26"/>
      <c r="DP13" s="26"/>
      <c r="DQ13" s="26"/>
      <c r="DR13" s="26"/>
      <c r="DS13" s="26"/>
      <c r="DT13" s="26"/>
      <c r="DU13" s="26"/>
      <c r="DV13" s="26"/>
      <c r="DW13" s="26"/>
      <c r="DX13" s="26"/>
      <c r="DY13" s="26"/>
      <c r="DZ13" s="26"/>
      <c r="EA13" s="26"/>
      <c r="EB13" s="26"/>
      <c r="EC13" s="26"/>
      <c r="ED13" s="26"/>
      <c r="EE13" s="26"/>
      <c r="EF13" s="26"/>
      <c r="EG13" s="26"/>
      <c r="EH13" s="26"/>
      <c r="EI13" s="26"/>
      <c r="EJ13" s="26"/>
      <c r="EK13" s="26"/>
      <c r="EL13" s="26"/>
      <c r="EM13" s="26"/>
      <c r="EN13" s="26"/>
      <c r="EO13" s="26"/>
      <c r="EP13" s="26"/>
      <c r="EQ13" s="26"/>
      <c r="ER13" s="26"/>
      <c r="ES13" s="26"/>
      <c r="ET13" s="26"/>
      <c r="EU13" s="26"/>
      <c r="EV13" s="26"/>
      <c r="EW13" s="26"/>
      <c r="EX13" s="26"/>
      <c r="EY13" s="26"/>
      <c r="EZ13" s="26"/>
      <c r="FA13" s="26"/>
      <c r="FB13" s="26"/>
      <c r="FC13" s="26"/>
      <c r="FD13" s="26"/>
      <c r="FE13" s="26"/>
      <c r="FF13" s="26"/>
      <c r="FG13" s="26"/>
      <c r="FH13" s="26"/>
      <c r="FI13" s="26"/>
      <c r="FJ13" s="26"/>
      <c r="FK13" s="26"/>
      <c r="FL13" s="26"/>
      <c r="FM13" s="26"/>
      <c r="FN13" s="26"/>
      <c r="FO13" s="26"/>
      <c r="FP13" s="26"/>
      <c r="FQ13" s="26"/>
      <c r="FR13" s="26"/>
      <c r="FS13" s="26"/>
      <c r="FT13" s="26"/>
      <c r="FU13" s="26"/>
      <c r="FV13" s="26"/>
      <c r="FW13" s="26"/>
      <c r="FX13" s="26"/>
      <c r="FY13" s="26"/>
      <c r="FZ13" s="26"/>
      <c r="GA13" s="26"/>
      <c r="GB13" s="26"/>
      <c r="GC13" s="26"/>
      <c r="GD13" s="26"/>
      <c r="GE13" s="26"/>
      <c r="GF13" s="26"/>
      <c r="GG13" s="26"/>
      <c r="GH13" s="26"/>
      <c r="GI13" s="26"/>
      <c r="GJ13" s="26"/>
      <c r="GK13" s="26"/>
      <c r="GL13" s="26"/>
      <c r="GM13" s="26"/>
      <c r="GN13" s="26"/>
      <c r="GO13" s="26"/>
      <c r="GP13" s="26"/>
      <c r="GQ13" s="26"/>
      <c r="GR13" s="26"/>
      <c r="GS13" s="26"/>
      <c r="GT13" s="26"/>
      <c r="GU13" s="26"/>
      <c r="GV13" s="26"/>
      <c r="GW13" s="26"/>
      <c r="GX13" s="26"/>
      <c r="GY13" s="26"/>
      <c r="GZ13" s="26"/>
      <c r="HA13" s="26"/>
      <c r="HB13" s="26"/>
      <c r="HC13" s="26"/>
      <c r="HD13" s="26"/>
      <c r="HE13" s="26"/>
      <c r="HF13" s="26"/>
      <c r="HG13" s="26"/>
      <c r="HH13" s="26"/>
      <c r="HI13" s="26"/>
      <c r="HJ13" s="26"/>
      <c r="HK13" s="26"/>
      <c r="HL13" s="26"/>
      <c r="HM13" s="26"/>
      <c r="HN13" s="26"/>
      <c r="HO13" s="26"/>
      <c r="HP13" s="26"/>
      <c r="HQ13" s="26"/>
      <c r="HR13" s="26"/>
      <c r="HS13" s="26"/>
      <c r="HT13" s="26"/>
      <c r="HU13" s="26"/>
      <c r="HV13" s="26"/>
      <c r="HW13" s="26"/>
      <c r="HX13" s="26"/>
      <c r="HY13" s="26"/>
      <c r="HZ13" s="26"/>
      <c r="IA13" s="26"/>
      <c r="IB13" s="26"/>
      <c r="IC13" s="26"/>
      <c r="ID13" s="26"/>
      <c r="IE13" s="26"/>
      <c r="IF13" s="26"/>
      <c r="IG13" s="26"/>
      <c r="IH13" s="26"/>
      <c r="II13" s="26"/>
      <c r="IJ13" s="26"/>
      <c r="IK13" s="26"/>
      <c r="IL13" s="26"/>
      <c r="IM13" s="26"/>
      <c r="IN13" s="26"/>
      <c r="IO13" s="26"/>
      <c r="IP13" s="26"/>
      <c r="IQ13" s="26"/>
      <c r="IR13" s="26"/>
      <c r="IS13" s="26"/>
      <c r="IT13" s="26"/>
      <c r="IU13" s="26"/>
      <c r="IV13"/>
    </row>
    <row r="14" spans="1:256" s="23" customFormat="1" ht="118.8">
      <c r="A14" s="66"/>
      <c r="B14" s="36"/>
      <c r="C14" s="36"/>
      <c r="D14" s="49" t="s">
        <v>249</v>
      </c>
      <c r="E14" s="48">
        <v>3</v>
      </c>
      <c r="F14" s="49" t="s">
        <v>399</v>
      </c>
      <c r="G14" s="49"/>
      <c r="H14" s="52" t="s">
        <v>394</v>
      </c>
      <c r="J14" s="28"/>
      <c r="K14" s="28"/>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6"/>
      <c r="DE14" s="26"/>
      <c r="DF14" s="26"/>
      <c r="DG14" s="26"/>
      <c r="DH14" s="26"/>
      <c r="DI14" s="26"/>
      <c r="DJ14" s="26"/>
      <c r="DK14" s="26"/>
      <c r="DL14" s="26"/>
      <c r="DM14" s="26"/>
      <c r="DN14" s="26"/>
      <c r="DO14" s="26"/>
      <c r="DP14" s="26"/>
      <c r="DQ14" s="26"/>
      <c r="DR14" s="26"/>
      <c r="DS14" s="26"/>
      <c r="DT14" s="26"/>
      <c r="DU14" s="26"/>
      <c r="DV14" s="26"/>
      <c r="DW14" s="26"/>
      <c r="DX14" s="26"/>
      <c r="DY14" s="26"/>
      <c r="DZ14" s="26"/>
      <c r="EA14" s="26"/>
      <c r="EB14" s="26"/>
      <c r="EC14" s="26"/>
      <c r="ED14" s="26"/>
      <c r="EE14" s="26"/>
      <c r="EF14" s="26"/>
      <c r="EG14" s="26"/>
      <c r="EH14" s="26"/>
      <c r="EI14" s="26"/>
      <c r="EJ14" s="26"/>
      <c r="EK14" s="26"/>
      <c r="EL14" s="26"/>
      <c r="EM14" s="26"/>
      <c r="EN14" s="26"/>
      <c r="EO14" s="26"/>
      <c r="EP14" s="26"/>
      <c r="EQ14" s="26"/>
      <c r="ER14" s="26"/>
      <c r="ES14" s="26"/>
      <c r="ET14" s="26"/>
      <c r="EU14" s="26"/>
      <c r="EV14" s="26"/>
      <c r="EW14" s="26"/>
      <c r="EX14" s="26"/>
      <c r="EY14" s="26"/>
      <c r="EZ14" s="26"/>
      <c r="FA14" s="26"/>
      <c r="FB14" s="26"/>
      <c r="FC14" s="26"/>
      <c r="FD14" s="26"/>
      <c r="FE14" s="26"/>
      <c r="FF14" s="26"/>
      <c r="FG14" s="26"/>
      <c r="FH14" s="26"/>
      <c r="FI14" s="26"/>
      <c r="FJ14" s="26"/>
      <c r="FK14" s="26"/>
      <c r="FL14" s="26"/>
      <c r="FM14" s="26"/>
      <c r="FN14" s="26"/>
      <c r="FO14" s="26"/>
      <c r="FP14" s="26"/>
      <c r="FQ14" s="26"/>
      <c r="FR14" s="26"/>
      <c r="FS14" s="26"/>
      <c r="FT14" s="26"/>
      <c r="FU14" s="26"/>
      <c r="FV14" s="26"/>
      <c r="FW14" s="26"/>
      <c r="FX14" s="26"/>
      <c r="FY14" s="26"/>
      <c r="FZ14" s="26"/>
      <c r="GA14" s="26"/>
      <c r="GB14" s="26"/>
      <c r="GC14" s="26"/>
      <c r="GD14" s="26"/>
      <c r="GE14" s="26"/>
      <c r="GF14" s="26"/>
      <c r="GG14" s="26"/>
      <c r="GH14" s="26"/>
      <c r="GI14" s="26"/>
      <c r="GJ14" s="26"/>
      <c r="GK14" s="26"/>
      <c r="GL14" s="26"/>
      <c r="GM14" s="26"/>
      <c r="GN14" s="26"/>
      <c r="GO14" s="26"/>
      <c r="GP14" s="26"/>
      <c r="GQ14" s="26"/>
      <c r="GR14" s="26"/>
      <c r="GS14" s="26"/>
      <c r="GT14" s="26"/>
      <c r="GU14" s="26"/>
      <c r="GV14" s="26"/>
      <c r="GW14" s="26"/>
      <c r="GX14" s="26"/>
      <c r="GY14" s="26"/>
      <c r="GZ14" s="26"/>
      <c r="HA14" s="26"/>
      <c r="HB14" s="26"/>
      <c r="HC14" s="26"/>
      <c r="HD14" s="26"/>
      <c r="HE14" s="26"/>
      <c r="HF14" s="26"/>
      <c r="HG14" s="26"/>
      <c r="HH14" s="26"/>
      <c r="HI14" s="26"/>
      <c r="HJ14" s="26"/>
      <c r="HK14" s="26"/>
      <c r="HL14" s="26"/>
      <c r="HM14" s="26"/>
      <c r="HN14" s="26"/>
      <c r="HO14" s="26"/>
      <c r="HP14" s="26"/>
      <c r="HQ14" s="26"/>
      <c r="HR14" s="26"/>
      <c r="HS14" s="26"/>
      <c r="HT14" s="26"/>
      <c r="HU14" s="26"/>
      <c r="HV14" s="26"/>
      <c r="HW14" s="26"/>
      <c r="HX14" s="26"/>
      <c r="HY14" s="26"/>
      <c r="HZ14" s="26"/>
      <c r="IA14" s="26"/>
      <c r="IB14" s="26"/>
      <c r="IC14" s="26"/>
      <c r="ID14" s="26"/>
      <c r="IE14" s="26"/>
      <c r="IF14" s="26"/>
      <c r="IG14" s="26"/>
      <c r="IH14" s="26"/>
      <c r="II14" s="26"/>
      <c r="IJ14" s="26"/>
      <c r="IK14" s="26"/>
      <c r="IL14" s="26"/>
      <c r="IM14" s="26"/>
      <c r="IN14" s="26"/>
      <c r="IO14" s="26"/>
      <c r="IP14" s="26"/>
      <c r="IQ14" s="26"/>
      <c r="IR14" s="26"/>
      <c r="IS14" s="26"/>
      <c r="IT14" s="26"/>
      <c r="IU14" s="26"/>
      <c r="IV14"/>
    </row>
    <row r="15" spans="1:256" s="23" customFormat="1" ht="290.39999999999998" customHeight="1">
      <c r="A15" s="66"/>
      <c r="B15" s="36"/>
      <c r="C15" s="36" t="s">
        <v>250</v>
      </c>
      <c r="D15" s="49" t="s">
        <v>251</v>
      </c>
      <c r="E15" s="48">
        <v>1</v>
      </c>
      <c r="F15" s="49" t="s">
        <v>409</v>
      </c>
      <c r="G15" s="146" t="s">
        <v>511</v>
      </c>
      <c r="H15" s="52" t="s">
        <v>394</v>
      </c>
      <c r="J15" s="28"/>
      <c r="K15" s="28"/>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c r="DC15" s="26"/>
      <c r="DD15" s="26"/>
      <c r="DE15" s="26"/>
      <c r="DF15" s="26"/>
      <c r="DG15" s="26"/>
      <c r="DH15" s="26"/>
      <c r="DI15" s="26"/>
      <c r="DJ15" s="26"/>
      <c r="DK15" s="26"/>
      <c r="DL15" s="26"/>
      <c r="DM15" s="26"/>
      <c r="DN15" s="26"/>
      <c r="DO15" s="26"/>
      <c r="DP15" s="26"/>
      <c r="DQ15" s="26"/>
      <c r="DR15" s="26"/>
      <c r="DS15" s="26"/>
      <c r="DT15" s="26"/>
      <c r="DU15" s="26"/>
      <c r="DV15" s="26"/>
      <c r="DW15" s="26"/>
      <c r="DX15" s="26"/>
      <c r="DY15" s="26"/>
      <c r="DZ15" s="26"/>
      <c r="EA15" s="26"/>
      <c r="EB15" s="26"/>
      <c r="EC15" s="26"/>
      <c r="ED15" s="26"/>
      <c r="EE15" s="26"/>
      <c r="EF15" s="26"/>
      <c r="EG15" s="26"/>
      <c r="EH15" s="26"/>
      <c r="EI15" s="26"/>
      <c r="EJ15" s="26"/>
      <c r="EK15" s="26"/>
      <c r="EL15" s="26"/>
      <c r="EM15" s="26"/>
      <c r="EN15" s="26"/>
      <c r="EO15" s="26"/>
      <c r="EP15" s="26"/>
      <c r="EQ15" s="26"/>
      <c r="ER15" s="26"/>
      <c r="ES15" s="26"/>
      <c r="ET15" s="26"/>
      <c r="EU15" s="26"/>
      <c r="EV15" s="26"/>
      <c r="EW15" s="26"/>
      <c r="EX15" s="26"/>
      <c r="EY15" s="26"/>
      <c r="EZ15" s="26"/>
      <c r="FA15" s="26"/>
      <c r="FB15" s="26"/>
      <c r="FC15" s="26"/>
      <c r="FD15" s="26"/>
      <c r="FE15" s="26"/>
      <c r="FF15" s="26"/>
      <c r="FG15" s="26"/>
      <c r="FH15" s="26"/>
      <c r="FI15" s="26"/>
      <c r="FJ15" s="26"/>
      <c r="FK15" s="26"/>
      <c r="FL15" s="26"/>
      <c r="FM15" s="26"/>
      <c r="FN15" s="26"/>
      <c r="FO15" s="26"/>
      <c r="FP15" s="26"/>
      <c r="FQ15" s="26"/>
      <c r="FR15" s="26"/>
      <c r="FS15" s="26"/>
      <c r="FT15" s="26"/>
      <c r="FU15" s="26"/>
      <c r="FV15" s="26"/>
      <c r="FW15" s="26"/>
      <c r="FX15" s="26"/>
      <c r="FY15" s="26"/>
      <c r="FZ15" s="26"/>
      <c r="GA15" s="26"/>
      <c r="GB15" s="26"/>
      <c r="GC15" s="26"/>
      <c r="GD15" s="26"/>
      <c r="GE15" s="26"/>
      <c r="GF15" s="26"/>
      <c r="GG15" s="26"/>
      <c r="GH15" s="26"/>
      <c r="GI15" s="26"/>
      <c r="GJ15" s="26"/>
      <c r="GK15" s="26"/>
      <c r="GL15" s="26"/>
      <c r="GM15" s="26"/>
      <c r="GN15" s="26"/>
      <c r="GO15" s="26"/>
      <c r="GP15" s="26"/>
      <c r="GQ15" s="26"/>
      <c r="GR15" s="26"/>
      <c r="GS15" s="26"/>
      <c r="GT15" s="26"/>
      <c r="GU15" s="26"/>
      <c r="GV15" s="26"/>
      <c r="GW15" s="26"/>
      <c r="GX15" s="26"/>
      <c r="GY15" s="26"/>
      <c r="GZ15" s="26"/>
      <c r="HA15" s="26"/>
      <c r="HB15" s="26"/>
      <c r="HC15" s="26"/>
      <c r="HD15" s="26"/>
      <c r="HE15" s="26"/>
      <c r="HF15" s="26"/>
      <c r="HG15" s="26"/>
      <c r="HH15" s="26"/>
      <c r="HI15" s="26"/>
      <c r="HJ15" s="26"/>
      <c r="HK15" s="26"/>
      <c r="HL15" s="26"/>
      <c r="HM15" s="26"/>
      <c r="HN15" s="26"/>
      <c r="HO15" s="26"/>
      <c r="HP15" s="26"/>
      <c r="HQ15" s="26"/>
      <c r="HR15" s="26"/>
      <c r="HS15" s="26"/>
      <c r="HT15" s="26"/>
      <c r="HU15" s="26"/>
      <c r="HV15" s="26"/>
      <c r="HW15" s="26"/>
      <c r="HX15" s="26"/>
      <c r="HY15" s="26"/>
      <c r="HZ15" s="26"/>
      <c r="IA15" s="26"/>
      <c r="IB15" s="26"/>
      <c r="IC15" s="26"/>
      <c r="ID15" s="26"/>
      <c r="IE15" s="26"/>
      <c r="IF15" s="26"/>
      <c r="IG15" s="26"/>
      <c r="IH15" s="26"/>
      <c r="II15" s="26"/>
      <c r="IJ15" s="26"/>
      <c r="IK15" s="26"/>
      <c r="IL15" s="26"/>
      <c r="IM15" s="26"/>
      <c r="IN15" s="26"/>
      <c r="IO15" s="26"/>
      <c r="IP15" s="26"/>
      <c r="IQ15" s="26"/>
      <c r="IR15" s="26"/>
      <c r="IS15" s="26"/>
      <c r="IT15" s="26"/>
      <c r="IU15" s="26"/>
      <c r="IV15"/>
    </row>
    <row r="16" spans="1:256" s="23" customFormat="1" ht="107.4" customHeight="1">
      <c r="A16" s="66"/>
      <c r="B16" s="36"/>
      <c r="C16" s="36"/>
      <c r="D16" s="49" t="s">
        <v>252</v>
      </c>
      <c r="E16" s="48">
        <v>1</v>
      </c>
      <c r="F16" s="49" t="s">
        <v>400</v>
      </c>
      <c r="G16" s="146" t="s">
        <v>450</v>
      </c>
      <c r="H16" s="52" t="s">
        <v>394</v>
      </c>
      <c r="J16" s="28"/>
      <c r="K16" s="28"/>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c r="DC16" s="26"/>
      <c r="DD16" s="26"/>
      <c r="DE16" s="26"/>
      <c r="DF16" s="26"/>
      <c r="DG16" s="26"/>
      <c r="DH16" s="26"/>
      <c r="DI16" s="26"/>
      <c r="DJ16" s="26"/>
      <c r="DK16" s="26"/>
      <c r="DL16" s="26"/>
      <c r="DM16" s="26"/>
      <c r="DN16" s="26"/>
      <c r="DO16" s="26"/>
      <c r="DP16" s="26"/>
      <c r="DQ16" s="26"/>
      <c r="DR16" s="26"/>
      <c r="DS16" s="26"/>
      <c r="DT16" s="26"/>
      <c r="DU16" s="26"/>
      <c r="DV16" s="26"/>
      <c r="DW16" s="26"/>
      <c r="DX16" s="26"/>
      <c r="DY16" s="26"/>
      <c r="DZ16" s="26"/>
      <c r="EA16" s="26"/>
      <c r="EB16" s="26"/>
      <c r="EC16" s="26"/>
      <c r="ED16" s="26"/>
      <c r="EE16" s="26"/>
      <c r="EF16" s="26"/>
      <c r="EG16" s="26"/>
      <c r="EH16" s="26"/>
      <c r="EI16" s="26"/>
      <c r="EJ16" s="26"/>
      <c r="EK16" s="26"/>
      <c r="EL16" s="26"/>
      <c r="EM16" s="26"/>
      <c r="EN16" s="26"/>
      <c r="EO16" s="26"/>
      <c r="EP16" s="26"/>
      <c r="EQ16" s="26"/>
      <c r="ER16" s="26"/>
      <c r="ES16" s="26"/>
      <c r="ET16" s="26"/>
      <c r="EU16" s="26"/>
      <c r="EV16" s="26"/>
      <c r="EW16" s="26"/>
      <c r="EX16" s="26"/>
      <c r="EY16" s="26"/>
      <c r="EZ16" s="26"/>
      <c r="FA16" s="26"/>
      <c r="FB16" s="26"/>
      <c r="FC16" s="26"/>
      <c r="FD16" s="26"/>
      <c r="FE16" s="26"/>
      <c r="FF16" s="26"/>
      <c r="FG16" s="26"/>
      <c r="FH16" s="26"/>
      <c r="FI16" s="26"/>
      <c r="FJ16" s="26"/>
      <c r="FK16" s="26"/>
      <c r="FL16" s="26"/>
      <c r="FM16" s="26"/>
      <c r="FN16" s="26"/>
      <c r="FO16" s="26"/>
      <c r="FP16" s="26"/>
      <c r="FQ16" s="26"/>
      <c r="FR16" s="26"/>
      <c r="FS16" s="26"/>
      <c r="FT16" s="26"/>
      <c r="FU16" s="26"/>
      <c r="FV16" s="26"/>
      <c r="FW16" s="26"/>
      <c r="FX16" s="26"/>
      <c r="FY16" s="26"/>
      <c r="FZ16" s="26"/>
      <c r="GA16" s="26"/>
      <c r="GB16" s="26"/>
      <c r="GC16" s="26"/>
      <c r="GD16" s="26"/>
      <c r="GE16" s="26"/>
      <c r="GF16" s="26"/>
      <c r="GG16" s="26"/>
      <c r="GH16" s="26"/>
      <c r="GI16" s="26"/>
      <c r="GJ16" s="26"/>
      <c r="GK16" s="26"/>
      <c r="GL16" s="26"/>
      <c r="GM16" s="26"/>
      <c r="GN16" s="26"/>
      <c r="GO16" s="26"/>
      <c r="GP16" s="26"/>
      <c r="GQ16" s="26"/>
      <c r="GR16" s="26"/>
      <c r="GS16" s="26"/>
      <c r="GT16" s="26"/>
      <c r="GU16" s="26"/>
      <c r="GV16" s="26"/>
      <c r="GW16" s="26"/>
      <c r="GX16" s="26"/>
      <c r="GY16" s="26"/>
      <c r="GZ16" s="26"/>
      <c r="HA16" s="26"/>
      <c r="HB16" s="26"/>
      <c r="HC16" s="26"/>
      <c r="HD16" s="26"/>
      <c r="HE16" s="26"/>
      <c r="HF16" s="26"/>
      <c r="HG16" s="26"/>
      <c r="HH16" s="26"/>
      <c r="HI16" s="26"/>
      <c r="HJ16" s="26"/>
      <c r="HK16" s="26"/>
      <c r="HL16" s="26"/>
      <c r="HM16" s="26"/>
      <c r="HN16" s="26"/>
      <c r="HO16" s="26"/>
      <c r="HP16" s="26"/>
      <c r="HQ16" s="26"/>
      <c r="HR16" s="26"/>
      <c r="HS16" s="26"/>
      <c r="HT16" s="26"/>
      <c r="HU16" s="26"/>
      <c r="HV16" s="26"/>
      <c r="HW16" s="26"/>
      <c r="HX16" s="26"/>
      <c r="HY16" s="26"/>
      <c r="HZ16" s="26"/>
      <c r="IA16" s="26"/>
      <c r="IB16" s="26"/>
      <c r="IC16" s="26"/>
      <c r="ID16" s="26"/>
      <c r="IE16" s="26"/>
      <c r="IF16" s="26"/>
      <c r="IG16" s="26"/>
      <c r="IH16" s="26"/>
      <c r="II16" s="26"/>
      <c r="IJ16" s="26"/>
      <c r="IK16" s="26"/>
      <c r="IL16" s="26"/>
      <c r="IM16" s="26"/>
      <c r="IN16" s="26"/>
      <c r="IO16" s="26"/>
      <c r="IP16" s="26"/>
      <c r="IQ16" s="26"/>
      <c r="IR16" s="26"/>
      <c r="IS16" s="26"/>
      <c r="IT16" s="26"/>
      <c r="IU16" s="26"/>
      <c r="IV16"/>
    </row>
    <row r="17" spans="1:256" s="23" customFormat="1" ht="303.60000000000002">
      <c r="A17" s="66"/>
      <c r="B17" s="36"/>
      <c r="C17" s="36"/>
      <c r="D17" s="49" t="s">
        <v>253</v>
      </c>
      <c r="E17" s="48">
        <v>2</v>
      </c>
      <c r="F17" s="49" t="s">
        <v>400</v>
      </c>
      <c r="G17" s="146" t="s">
        <v>512</v>
      </c>
      <c r="H17" s="52" t="s">
        <v>394</v>
      </c>
      <c r="J17" s="28"/>
      <c r="K17" s="28"/>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c r="DC17" s="26"/>
      <c r="DD17" s="26"/>
      <c r="DE17" s="26"/>
      <c r="DF17" s="26"/>
      <c r="DG17" s="26"/>
      <c r="DH17" s="26"/>
      <c r="DI17" s="26"/>
      <c r="DJ17" s="26"/>
      <c r="DK17" s="26"/>
      <c r="DL17" s="26"/>
      <c r="DM17" s="26"/>
      <c r="DN17" s="26"/>
      <c r="DO17" s="26"/>
      <c r="DP17" s="26"/>
      <c r="DQ17" s="26"/>
      <c r="DR17" s="26"/>
      <c r="DS17" s="26"/>
      <c r="DT17" s="26"/>
      <c r="DU17" s="26"/>
      <c r="DV17" s="26"/>
      <c r="DW17" s="26"/>
      <c r="DX17" s="26"/>
      <c r="DY17" s="26"/>
      <c r="DZ17" s="26"/>
      <c r="EA17" s="26"/>
      <c r="EB17" s="26"/>
      <c r="EC17" s="26"/>
      <c r="ED17" s="26"/>
      <c r="EE17" s="26"/>
      <c r="EF17" s="26"/>
      <c r="EG17" s="26"/>
      <c r="EH17" s="26"/>
      <c r="EI17" s="26"/>
      <c r="EJ17" s="26"/>
      <c r="EK17" s="26"/>
      <c r="EL17" s="26"/>
      <c r="EM17" s="26"/>
      <c r="EN17" s="26"/>
      <c r="EO17" s="26"/>
      <c r="EP17" s="26"/>
      <c r="EQ17" s="26"/>
      <c r="ER17" s="26"/>
      <c r="ES17" s="26"/>
      <c r="ET17" s="26"/>
      <c r="EU17" s="26"/>
      <c r="EV17" s="26"/>
      <c r="EW17" s="26"/>
      <c r="EX17" s="26"/>
      <c r="EY17" s="26"/>
      <c r="EZ17" s="26"/>
      <c r="FA17" s="26"/>
      <c r="FB17" s="26"/>
      <c r="FC17" s="26"/>
      <c r="FD17" s="26"/>
      <c r="FE17" s="26"/>
      <c r="FF17" s="26"/>
      <c r="FG17" s="26"/>
      <c r="FH17" s="26"/>
      <c r="FI17" s="26"/>
      <c r="FJ17" s="26"/>
      <c r="FK17" s="26"/>
      <c r="FL17" s="26"/>
      <c r="FM17" s="26"/>
      <c r="FN17" s="26"/>
      <c r="FO17" s="26"/>
      <c r="FP17" s="26"/>
      <c r="FQ17" s="26"/>
      <c r="FR17" s="26"/>
      <c r="FS17" s="26"/>
      <c r="FT17" s="26"/>
      <c r="FU17" s="26"/>
      <c r="FV17" s="26"/>
      <c r="FW17" s="26"/>
      <c r="FX17" s="26"/>
      <c r="FY17" s="26"/>
      <c r="FZ17" s="26"/>
      <c r="GA17" s="26"/>
      <c r="GB17" s="26"/>
      <c r="GC17" s="26"/>
      <c r="GD17" s="26"/>
      <c r="GE17" s="26"/>
      <c r="GF17" s="26"/>
      <c r="GG17" s="26"/>
      <c r="GH17" s="26"/>
      <c r="GI17" s="26"/>
      <c r="GJ17" s="26"/>
      <c r="GK17" s="26"/>
      <c r="GL17" s="26"/>
      <c r="GM17" s="26"/>
      <c r="GN17" s="26"/>
      <c r="GO17" s="26"/>
      <c r="GP17" s="26"/>
      <c r="GQ17" s="26"/>
      <c r="GR17" s="26"/>
      <c r="GS17" s="26"/>
      <c r="GT17" s="26"/>
      <c r="GU17" s="26"/>
      <c r="GV17" s="26"/>
      <c r="GW17" s="26"/>
      <c r="GX17" s="26"/>
      <c r="GY17" s="26"/>
      <c r="GZ17" s="26"/>
      <c r="HA17" s="26"/>
      <c r="HB17" s="26"/>
      <c r="HC17" s="26"/>
      <c r="HD17" s="26"/>
      <c r="HE17" s="26"/>
      <c r="HF17" s="26"/>
      <c r="HG17" s="26"/>
      <c r="HH17" s="26"/>
      <c r="HI17" s="26"/>
      <c r="HJ17" s="26"/>
      <c r="HK17" s="26"/>
      <c r="HL17" s="26"/>
      <c r="HM17" s="26"/>
      <c r="HN17" s="26"/>
      <c r="HO17" s="26"/>
      <c r="HP17" s="26"/>
      <c r="HQ17" s="26"/>
      <c r="HR17" s="26"/>
      <c r="HS17" s="26"/>
      <c r="HT17" s="26"/>
      <c r="HU17" s="26"/>
      <c r="HV17" s="26"/>
      <c r="HW17" s="26"/>
      <c r="HX17" s="26"/>
      <c r="HY17" s="26"/>
      <c r="HZ17" s="26"/>
      <c r="IA17" s="26"/>
      <c r="IB17" s="26"/>
      <c r="IC17" s="26"/>
      <c r="ID17" s="26"/>
      <c r="IE17" s="26"/>
      <c r="IF17" s="26"/>
      <c r="IG17" s="26"/>
      <c r="IH17" s="26"/>
      <c r="II17" s="26"/>
      <c r="IJ17" s="26"/>
      <c r="IK17" s="26"/>
      <c r="IL17" s="26"/>
      <c r="IM17" s="26"/>
      <c r="IN17" s="26"/>
      <c r="IO17" s="26"/>
      <c r="IP17" s="26"/>
      <c r="IQ17" s="26"/>
      <c r="IR17" s="26"/>
      <c r="IS17" s="26"/>
      <c r="IT17" s="26"/>
      <c r="IU17" s="26"/>
      <c r="IV17"/>
    </row>
    <row r="18" spans="1:256" s="23" customFormat="1" ht="137.1" customHeight="1">
      <c r="A18" s="66"/>
      <c r="B18" s="36"/>
      <c r="C18" s="36"/>
      <c r="D18" s="49" t="s">
        <v>254</v>
      </c>
      <c r="E18" s="48">
        <v>1</v>
      </c>
      <c r="F18" s="49" t="s">
        <v>400</v>
      </c>
      <c r="G18" s="146" t="s">
        <v>478</v>
      </c>
      <c r="H18" s="52" t="s">
        <v>394</v>
      </c>
      <c r="J18" s="28"/>
      <c r="K18" s="28"/>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26"/>
      <c r="FC18" s="26"/>
      <c r="FD18" s="26"/>
      <c r="FE18" s="26"/>
      <c r="FF18" s="26"/>
      <c r="FG18" s="26"/>
      <c r="FH18" s="26"/>
      <c r="FI18" s="26"/>
      <c r="FJ18" s="26"/>
      <c r="FK18" s="26"/>
      <c r="FL18" s="26"/>
      <c r="FM18" s="26"/>
      <c r="FN18" s="26"/>
      <c r="FO18" s="26"/>
      <c r="FP18" s="26"/>
      <c r="FQ18" s="26"/>
      <c r="FR18" s="26"/>
      <c r="FS18" s="26"/>
      <c r="FT18" s="26"/>
      <c r="FU18" s="26"/>
      <c r="FV18" s="26"/>
      <c r="FW18" s="26"/>
      <c r="FX18" s="26"/>
      <c r="FY18" s="26"/>
      <c r="FZ18" s="26"/>
      <c r="GA18" s="26"/>
      <c r="GB18" s="26"/>
      <c r="GC18" s="26"/>
      <c r="GD18" s="26"/>
      <c r="GE18" s="26"/>
      <c r="GF18" s="26"/>
      <c r="GG18" s="26"/>
      <c r="GH18" s="26"/>
      <c r="GI18" s="26"/>
      <c r="GJ18" s="26"/>
      <c r="GK18" s="26"/>
      <c r="GL18" s="26"/>
      <c r="GM18" s="26"/>
      <c r="GN18" s="26"/>
      <c r="GO18" s="26"/>
      <c r="GP18" s="26"/>
      <c r="GQ18" s="26"/>
      <c r="GR18" s="26"/>
      <c r="GS18" s="26"/>
      <c r="GT18" s="26"/>
      <c r="GU18" s="26"/>
      <c r="GV18" s="26"/>
      <c r="GW18" s="26"/>
      <c r="GX18" s="26"/>
      <c r="GY18" s="26"/>
      <c r="GZ18" s="26"/>
      <c r="HA18" s="26"/>
      <c r="HB18" s="26"/>
      <c r="HC18" s="26"/>
      <c r="HD18" s="26"/>
      <c r="HE18" s="26"/>
      <c r="HF18" s="26"/>
      <c r="HG18" s="26"/>
      <c r="HH18" s="26"/>
      <c r="HI18" s="26"/>
      <c r="HJ18" s="26"/>
      <c r="HK18" s="26"/>
      <c r="HL18" s="26"/>
      <c r="HM18" s="26"/>
      <c r="HN18" s="26"/>
      <c r="HO18" s="26"/>
      <c r="HP18" s="26"/>
      <c r="HQ18" s="26"/>
      <c r="HR18" s="26"/>
      <c r="HS18" s="26"/>
      <c r="HT18" s="26"/>
      <c r="HU18" s="26"/>
      <c r="HV18" s="26"/>
      <c r="HW18" s="26"/>
      <c r="HX18" s="26"/>
      <c r="HY18" s="26"/>
      <c r="HZ18" s="26"/>
      <c r="IA18" s="26"/>
      <c r="IB18" s="26"/>
      <c r="IC18" s="26"/>
      <c r="ID18" s="26"/>
      <c r="IE18" s="26"/>
      <c r="IF18" s="26"/>
      <c r="IG18" s="26"/>
      <c r="IH18" s="26"/>
      <c r="II18" s="26"/>
      <c r="IJ18" s="26"/>
      <c r="IK18" s="26"/>
      <c r="IL18" s="26"/>
      <c r="IM18" s="26"/>
      <c r="IN18" s="26"/>
      <c r="IO18" s="26"/>
      <c r="IP18" s="26"/>
      <c r="IQ18" s="26"/>
      <c r="IR18" s="26"/>
      <c r="IS18" s="26"/>
      <c r="IT18" s="26"/>
      <c r="IU18" s="26"/>
      <c r="IV18"/>
    </row>
    <row r="19" spans="1:256" s="23" customFormat="1" ht="237.6">
      <c r="A19" s="66"/>
      <c r="B19" s="36"/>
      <c r="C19" s="36" t="s">
        <v>255</v>
      </c>
      <c r="D19" s="49" t="s">
        <v>256</v>
      </c>
      <c r="E19" s="48">
        <v>2</v>
      </c>
      <c r="F19" s="142" t="s">
        <v>451</v>
      </c>
      <c r="G19" s="146" t="s">
        <v>513</v>
      </c>
      <c r="H19" s="52" t="s">
        <v>394</v>
      </c>
      <c r="J19" s="28"/>
      <c r="K19" s="28"/>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26"/>
      <c r="FC19" s="26"/>
      <c r="FD19" s="26"/>
      <c r="FE19" s="26"/>
      <c r="FF19" s="26"/>
      <c r="FG19" s="26"/>
      <c r="FH19" s="26"/>
      <c r="FI19" s="26"/>
      <c r="FJ19" s="26"/>
      <c r="FK19" s="26"/>
      <c r="FL19" s="26"/>
      <c r="FM19" s="26"/>
      <c r="FN19" s="26"/>
      <c r="FO19" s="26"/>
      <c r="FP19" s="26"/>
      <c r="FQ19" s="26"/>
      <c r="FR19" s="26"/>
      <c r="FS19" s="26"/>
      <c r="FT19" s="26"/>
      <c r="FU19" s="26"/>
      <c r="FV19" s="26"/>
      <c r="FW19" s="26"/>
      <c r="FX19" s="26"/>
      <c r="FY19" s="26"/>
      <c r="FZ19" s="26"/>
      <c r="GA19" s="26"/>
      <c r="GB19" s="26"/>
      <c r="GC19" s="26"/>
      <c r="GD19" s="26"/>
      <c r="GE19" s="26"/>
      <c r="GF19" s="26"/>
      <c r="GG19" s="26"/>
      <c r="GH19" s="26"/>
      <c r="GI19" s="26"/>
      <c r="GJ19" s="26"/>
      <c r="GK19" s="26"/>
      <c r="GL19" s="26"/>
      <c r="GM19" s="26"/>
      <c r="GN19" s="26"/>
      <c r="GO19" s="26"/>
      <c r="GP19" s="26"/>
      <c r="GQ19" s="26"/>
      <c r="GR19" s="26"/>
      <c r="GS19" s="26"/>
      <c r="GT19" s="26"/>
      <c r="GU19" s="26"/>
      <c r="GV19" s="26"/>
      <c r="GW19" s="26"/>
      <c r="GX19" s="26"/>
      <c r="GY19" s="26"/>
      <c r="GZ19" s="26"/>
      <c r="HA19" s="26"/>
      <c r="HB19" s="26"/>
      <c r="HC19" s="26"/>
      <c r="HD19" s="26"/>
      <c r="HE19" s="26"/>
      <c r="HF19" s="26"/>
      <c r="HG19" s="26"/>
      <c r="HH19" s="26"/>
      <c r="HI19" s="26"/>
      <c r="HJ19" s="26"/>
      <c r="HK19" s="26"/>
      <c r="HL19" s="26"/>
      <c r="HM19" s="26"/>
      <c r="HN19" s="26"/>
      <c r="HO19" s="26"/>
      <c r="HP19" s="26"/>
      <c r="HQ19" s="26"/>
      <c r="HR19" s="26"/>
      <c r="HS19" s="26"/>
      <c r="HT19" s="26"/>
      <c r="HU19" s="26"/>
      <c r="HV19" s="26"/>
      <c r="HW19" s="26"/>
      <c r="HX19" s="26"/>
      <c r="HY19" s="26"/>
      <c r="HZ19" s="26"/>
      <c r="IA19" s="26"/>
      <c r="IB19" s="26"/>
      <c r="IC19" s="26"/>
      <c r="ID19" s="26"/>
      <c r="IE19" s="26"/>
      <c r="IF19" s="26"/>
      <c r="IG19" s="26"/>
      <c r="IH19" s="26"/>
      <c r="II19" s="26"/>
      <c r="IJ19" s="26"/>
      <c r="IK19" s="26"/>
      <c r="IL19" s="26"/>
      <c r="IM19" s="26"/>
      <c r="IN19" s="26"/>
      <c r="IO19" s="26"/>
      <c r="IP19" s="26"/>
      <c r="IQ19" s="26"/>
      <c r="IR19" s="26"/>
      <c r="IS19" s="26"/>
      <c r="IT19" s="26"/>
      <c r="IU19" s="26"/>
      <c r="IV19"/>
    </row>
    <row r="20" spans="1:256" s="23" customFormat="1" ht="234.6" customHeight="1">
      <c r="A20" s="66"/>
      <c r="B20" s="36"/>
      <c r="C20" s="36"/>
      <c r="D20" s="49" t="s">
        <v>257</v>
      </c>
      <c r="E20" s="48">
        <v>2</v>
      </c>
      <c r="F20" s="182" t="s">
        <v>500</v>
      </c>
      <c r="G20" s="146" t="s">
        <v>514</v>
      </c>
      <c r="H20" s="52" t="s">
        <v>394</v>
      </c>
      <c r="J20" s="28"/>
      <c r="K20" s="28"/>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26"/>
      <c r="DY20" s="26"/>
      <c r="DZ20" s="26"/>
      <c r="EA20" s="26"/>
      <c r="EB20" s="26"/>
      <c r="EC20" s="26"/>
      <c r="ED20" s="26"/>
      <c r="EE20" s="26"/>
      <c r="EF20" s="26"/>
      <c r="EG20" s="26"/>
      <c r="EH20" s="26"/>
      <c r="EI20" s="26"/>
      <c r="EJ20" s="26"/>
      <c r="EK20" s="26"/>
      <c r="EL20" s="26"/>
      <c r="EM20" s="26"/>
      <c r="EN20" s="26"/>
      <c r="EO20" s="26"/>
      <c r="EP20" s="26"/>
      <c r="EQ20" s="26"/>
      <c r="ER20" s="26"/>
      <c r="ES20" s="26"/>
      <c r="ET20" s="26"/>
      <c r="EU20" s="26"/>
      <c r="EV20" s="26"/>
      <c r="EW20" s="26"/>
      <c r="EX20" s="26"/>
      <c r="EY20" s="26"/>
      <c r="EZ20" s="26"/>
      <c r="FA20" s="26"/>
      <c r="FB20" s="26"/>
      <c r="FC20" s="26"/>
      <c r="FD20" s="26"/>
      <c r="FE20" s="26"/>
      <c r="FF20" s="26"/>
      <c r="FG20" s="26"/>
      <c r="FH20" s="26"/>
      <c r="FI20" s="26"/>
      <c r="FJ20" s="26"/>
      <c r="FK20" s="26"/>
      <c r="FL20" s="26"/>
      <c r="FM20" s="26"/>
      <c r="FN20" s="26"/>
      <c r="FO20" s="26"/>
      <c r="FP20" s="26"/>
      <c r="FQ20" s="26"/>
      <c r="FR20" s="26"/>
      <c r="FS20" s="26"/>
      <c r="FT20" s="26"/>
      <c r="FU20" s="26"/>
      <c r="FV20" s="26"/>
      <c r="FW20" s="26"/>
      <c r="FX20" s="26"/>
      <c r="FY20" s="26"/>
      <c r="FZ20" s="26"/>
      <c r="GA20" s="26"/>
      <c r="GB20" s="26"/>
      <c r="GC20" s="26"/>
      <c r="GD20" s="26"/>
      <c r="GE20" s="26"/>
      <c r="GF20" s="26"/>
      <c r="GG20" s="26"/>
      <c r="GH20" s="26"/>
      <c r="GI20" s="26"/>
      <c r="GJ20" s="26"/>
      <c r="GK20" s="26"/>
      <c r="GL20" s="26"/>
      <c r="GM20" s="26"/>
      <c r="GN20" s="26"/>
      <c r="GO20" s="26"/>
      <c r="GP20" s="26"/>
      <c r="GQ20" s="26"/>
      <c r="GR20" s="26"/>
      <c r="GS20" s="26"/>
      <c r="GT20" s="26"/>
      <c r="GU20" s="26"/>
      <c r="GV20" s="26"/>
      <c r="GW20" s="26"/>
      <c r="GX20" s="26"/>
      <c r="GY20" s="26"/>
      <c r="GZ20" s="26"/>
      <c r="HA20" s="26"/>
      <c r="HB20" s="26"/>
      <c r="HC20" s="26"/>
      <c r="HD20" s="26"/>
      <c r="HE20" s="26"/>
      <c r="HF20" s="26"/>
      <c r="HG20" s="26"/>
      <c r="HH20" s="26"/>
      <c r="HI20" s="26"/>
      <c r="HJ20" s="26"/>
      <c r="HK20" s="26"/>
      <c r="HL20" s="26"/>
      <c r="HM20" s="26"/>
      <c r="HN20" s="26"/>
      <c r="HO20" s="26"/>
      <c r="HP20" s="26"/>
      <c r="HQ20" s="26"/>
      <c r="HR20" s="26"/>
      <c r="HS20" s="26"/>
      <c r="HT20" s="26"/>
      <c r="HU20" s="26"/>
      <c r="HV20" s="26"/>
      <c r="HW20" s="26"/>
      <c r="HX20" s="26"/>
      <c r="HY20" s="26"/>
      <c r="HZ20" s="26"/>
      <c r="IA20" s="26"/>
      <c r="IB20" s="26"/>
      <c r="IC20" s="26"/>
      <c r="ID20" s="26"/>
      <c r="IE20" s="26"/>
      <c r="IF20" s="26"/>
      <c r="IG20" s="26"/>
      <c r="IH20" s="26"/>
      <c r="II20" s="26"/>
      <c r="IJ20" s="26"/>
      <c r="IK20" s="26"/>
      <c r="IL20" s="26"/>
      <c r="IM20" s="26"/>
      <c r="IN20" s="26"/>
      <c r="IO20" s="26"/>
      <c r="IP20" s="26"/>
      <c r="IQ20" s="26"/>
      <c r="IR20" s="26"/>
      <c r="IS20" s="26"/>
      <c r="IT20" s="26"/>
      <c r="IU20" s="26"/>
      <c r="IV20"/>
    </row>
    <row r="21" spans="1:256" s="23" customFormat="1" ht="118.5" customHeight="1">
      <c r="A21" s="66"/>
      <c r="B21" s="36"/>
      <c r="C21" s="36"/>
      <c r="D21" s="49" t="s">
        <v>258</v>
      </c>
      <c r="E21" s="48">
        <v>2</v>
      </c>
      <c r="F21" s="139" t="s">
        <v>401</v>
      </c>
      <c r="G21" s="140" t="s">
        <v>452</v>
      </c>
      <c r="H21" s="52" t="s">
        <v>394</v>
      </c>
      <c r="J21" s="28"/>
      <c r="K21" s="28"/>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c r="CC21" s="26"/>
      <c r="CD21" s="26"/>
      <c r="CE21" s="26"/>
      <c r="CF21" s="26"/>
      <c r="CG21" s="26"/>
      <c r="CH21" s="26"/>
      <c r="CI21" s="26"/>
      <c r="CJ21" s="26"/>
      <c r="CK21" s="26"/>
      <c r="CL21" s="26"/>
      <c r="CM21" s="26"/>
      <c r="CN21" s="26"/>
      <c r="CO21" s="26"/>
      <c r="CP21" s="26"/>
      <c r="CQ21" s="26"/>
      <c r="CR21" s="26"/>
      <c r="CS21" s="26"/>
      <c r="CT21" s="26"/>
      <c r="CU21" s="26"/>
      <c r="CV21" s="26"/>
      <c r="CW21" s="26"/>
      <c r="CX21" s="26"/>
      <c r="CY21" s="26"/>
      <c r="CZ21" s="26"/>
      <c r="DA21" s="26"/>
      <c r="DB21" s="26"/>
      <c r="DC21" s="26"/>
      <c r="DD21" s="26"/>
      <c r="DE21" s="26"/>
      <c r="DF21" s="26"/>
      <c r="DG21" s="26"/>
      <c r="DH21" s="26"/>
      <c r="DI21" s="26"/>
      <c r="DJ21" s="26"/>
      <c r="DK21" s="26"/>
      <c r="DL21" s="26"/>
      <c r="DM21" s="26"/>
      <c r="DN21" s="26"/>
      <c r="DO21" s="26"/>
      <c r="DP21" s="26"/>
      <c r="DQ21" s="26"/>
      <c r="DR21" s="26"/>
      <c r="DS21" s="26"/>
      <c r="DT21" s="26"/>
      <c r="DU21" s="26"/>
      <c r="DV21" s="26"/>
      <c r="DW21" s="26"/>
      <c r="DX21" s="26"/>
      <c r="DY21" s="26"/>
      <c r="DZ21" s="26"/>
      <c r="EA21" s="26"/>
      <c r="EB21" s="26"/>
      <c r="EC21" s="26"/>
      <c r="ED21" s="26"/>
      <c r="EE21" s="26"/>
      <c r="EF21" s="26"/>
      <c r="EG21" s="26"/>
      <c r="EH21" s="26"/>
      <c r="EI21" s="26"/>
      <c r="EJ21" s="26"/>
      <c r="EK21" s="26"/>
      <c r="EL21" s="26"/>
      <c r="EM21" s="26"/>
      <c r="EN21" s="26"/>
      <c r="EO21" s="26"/>
      <c r="EP21" s="26"/>
      <c r="EQ21" s="26"/>
      <c r="ER21" s="26"/>
      <c r="ES21" s="26"/>
      <c r="ET21" s="26"/>
      <c r="EU21" s="26"/>
      <c r="EV21" s="26"/>
      <c r="EW21" s="26"/>
      <c r="EX21" s="26"/>
      <c r="EY21" s="26"/>
      <c r="EZ21" s="26"/>
      <c r="FA21" s="26"/>
      <c r="FB21" s="26"/>
      <c r="FC21" s="26"/>
      <c r="FD21" s="26"/>
      <c r="FE21" s="26"/>
      <c r="FF21" s="26"/>
      <c r="FG21" s="26"/>
      <c r="FH21" s="26"/>
      <c r="FI21" s="26"/>
      <c r="FJ21" s="26"/>
      <c r="FK21" s="26"/>
      <c r="FL21" s="26"/>
      <c r="FM21" s="26"/>
      <c r="FN21" s="26"/>
      <c r="FO21" s="26"/>
      <c r="FP21" s="26"/>
      <c r="FQ21" s="26"/>
      <c r="FR21" s="26"/>
      <c r="FS21" s="26"/>
      <c r="FT21" s="26"/>
      <c r="FU21" s="26"/>
      <c r="FV21" s="26"/>
      <c r="FW21" s="26"/>
      <c r="FX21" s="26"/>
      <c r="FY21" s="26"/>
      <c r="FZ21" s="26"/>
      <c r="GA21" s="26"/>
      <c r="GB21" s="26"/>
      <c r="GC21" s="26"/>
      <c r="GD21" s="26"/>
      <c r="GE21" s="26"/>
      <c r="GF21" s="26"/>
      <c r="GG21" s="26"/>
      <c r="GH21" s="26"/>
      <c r="GI21" s="26"/>
      <c r="GJ21" s="26"/>
      <c r="GK21" s="26"/>
      <c r="GL21" s="26"/>
      <c r="GM21" s="26"/>
      <c r="GN21" s="26"/>
      <c r="GO21" s="26"/>
      <c r="GP21" s="26"/>
      <c r="GQ21" s="26"/>
      <c r="GR21" s="26"/>
      <c r="GS21" s="26"/>
      <c r="GT21" s="26"/>
      <c r="GU21" s="26"/>
      <c r="GV21" s="26"/>
      <c r="GW21" s="26"/>
      <c r="GX21" s="26"/>
      <c r="GY21" s="26"/>
      <c r="GZ21" s="26"/>
      <c r="HA21" s="26"/>
      <c r="HB21" s="26"/>
      <c r="HC21" s="26"/>
      <c r="HD21" s="26"/>
      <c r="HE21" s="26"/>
      <c r="HF21" s="26"/>
      <c r="HG21" s="26"/>
      <c r="HH21" s="26"/>
      <c r="HI21" s="26"/>
      <c r="HJ21" s="26"/>
      <c r="HK21" s="26"/>
      <c r="HL21" s="26"/>
      <c r="HM21" s="26"/>
      <c r="HN21" s="26"/>
      <c r="HO21" s="26"/>
      <c r="HP21" s="26"/>
      <c r="HQ21" s="26"/>
      <c r="HR21" s="26"/>
      <c r="HS21" s="26"/>
      <c r="HT21" s="26"/>
      <c r="HU21" s="26"/>
      <c r="HV21" s="26"/>
      <c r="HW21" s="26"/>
      <c r="HX21" s="26"/>
      <c r="HY21" s="26"/>
      <c r="HZ21" s="26"/>
      <c r="IA21" s="26"/>
      <c r="IB21" s="26"/>
      <c r="IC21" s="26"/>
      <c r="ID21" s="26"/>
      <c r="IE21" s="26"/>
      <c r="IF21" s="26"/>
      <c r="IG21" s="26"/>
      <c r="IH21" s="26"/>
      <c r="II21" s="26"/>
      <c r="IJ21" s="26"/>
      <c r="IK21" s="26"/>
      <c r="IL21" s="26"/>
      <c r="IM21" s="26"/>
      <c r="IN21" s="26"/>
      <c r="IO21" s="26"/>
      <c r="IP21" s="26"/>
      <c r="IQ21" s="26"/>
      <c r="IR21" s="26"/>
      <c r="IS21" s="26"/>
      <c r="IT21" s="26"/>
      <c r="IU21" s="26"/>
      <c r="IV21"/>
    </row>
    <row r="22" spans="1:256" s="23" customFormat="1" ht="92.4">
      <c r="A22" s="66"/>
      <c r="B22" s="36"/>
      <c r="C22" s="36"/>
      <c r="D22" s="49" t="s">
        <v>259</v>
      </c>
      <c r="E22" s="48">
        <v>1</v>
      </c>
      <c r="F22" s="142" t="s">
        <v>443</v>
      </c>
      <c r="G22" s="145" t="s">
        <v>444</v>
      </c>
      <c r="H22" s="52" t="s">
        <v>394</v>
      </c>
      <c r="J22" s="28"/>
      <c r="K22" s="28"/>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c r="DD22" s="26"/>
      <c r="DE22" s="26"/>
      <c r="DF22" s="26"/>
      <c r="DG22" s="26"/>
      <c r="DH22" s="26"/>
      <c r="DI22" s="26"/>
      <c r="DJ22" s="26"/>
      <c r="DK22" s="26"/>
      <c r="DL22" s="26"/>
      <c r="DM22" s="26"/>
      <c r="DN22" s="26"/>
      <c r="DO22" s="26"/>
      <c r="DP22" s="26"/>
      <c r="DQ22" s="26"/>
      <c r="DR22" s="26"/>
      <c r="DS22" s="26"/>
      <c r="DT22" s="26"/>
      <c r="DU22" s="26"/>
      <c r="DV22" s="26"/>
      <c r="DW22" s="26"/>
      <c r="DX22" s="26"/>
      <c r="DY22" s="26"/>
      <c r="DZ22" s="26"/>
      <c r="EA22" s="26"/>
      <c r="EB22" s="26"/>
      <c r="EC22" s="26"/>
      <c r="ED22" s="26"/>
      <c r="EE22" s="26"/>
      <c r="EF22" s="26"/>
      <c r="EG22" s="26"/>
      <c r="EH22" s="26"/>
      <c r="EI22" s="26"/>
      <c r="EJ22" s="26"/>
      <c r="EK22" s="26"/>
      <c r="EL22" s="26"/>
      <c r="EM22" s="26"/>
      <c r="EN22" s="26"/>
      <c r="EO22" s="26"/>
      <c r="EP22" s="26"/>
      <c r="EQ22" s="26"/>
      <c r="ER22" s="26"/>
      <c r="ES22" s="26"/>
      <c r="ET22" s="26"/>
      <c r="EU22" s="26"/>
      <c r="EV22" s="26"/>
      <c r="EW22" s="26"/>
      <c r="EX22" s="26"/>
      <c r="EY22" s="26"/>
      <c r="EZ22" s="26"/>
      <c r="FA22" s="26"/>
      <c r="FB22" s="26"/>
      <c r="FC22" s="26"/>
      <c r="FD22" s="26"/>
      <c r="FE22" s="26"/>
      <c r="FF22" s="26"/>
      <c r="FG22" s="26"/>
      <c r="FH22" s="26"/>
      <c r="FI22" s="26"/>
      <c r="FJ22" s="26"/>
      <c r="FK22" s="26"/>
      <c r="FL22" s="26"/>
      <c r="FM22" s="26"/>
      <c r="FN22" s="26"/>
      <c r="FO22" s="26"/>
      <c r="FP22" s="26"/>
      <c r="FQ22" s="26"/>
      <c r="FR22" s="26"/>
      <c r="FS22" s="26"/>
      <c r="FT22" s="26"/>
      <c r="FU22" s="26"/>
      <c r="FV22" s="26"/>
      <c r="FW22" s="26"/>
      <c r="FX22" s="26"/>
      <c r="FY22" s="26"/>
      <c r="FZ22" s="26"/>
      <c r="GA22" s="26"/>
      <c r="GB22" s="26"/>
      <c r="GC22" s="26"/>
      <c r="GD22" s="26"/>
      <c r="GE22" s="26"/>
      <c r="GF22" s="26"/>
      <c r="GG22" s="26"/>
      <c r="GH22" s="26"/>
      <c r="GI22" s="26"/>
      <c r="GJ22" s="26"/>
      <c r="GK22" s="26"/>
      <c r="GL22" s="26"/>
      <c r="GM22" s="26"/>
      <c r="GN22" s="26"/>
      <c r="GO22" s="26"/>
      <c r="GP22" s="26"/>
      <c r="GQ22" s="26"/>
      <c r="GR22" s="26"/>
      <c r="GS22" s="26"/>
      <c r="GT22" s="26"/>
      <c r="GU22" s="26"/>
      <c r="GV22" s="26"/>
      <c r="GW22" s="26"/>
      <c r="GX22" s="26"/>
      <c r="GY22" s="26"/>
      <c r="GZ22" s="26"/>
      <c r="HA22" s="26"/>
      <c r="HB22" s="26"/>
      <c r="HC22" s="26"/>
      <c r="HD22" s="26"/>
      <c r="HE22" s="26"/>
      <c r="HF22" s="26"/>
      <c r="HG22" s="26"/>
      <c r="HH22" s="26"/>
      <c r="HI22" s="26"/>
      <c r="HJ22" s="26"/>
      <c r="HK22" s="26"/>
      <c r="HL22" s="26"/>
      <c r="HM22" s="26"/>
      <c r="HN22" s="26"/>
      <c r="HO22" s="26"/>
      <c r="HP22" s="26"/>
      <c r="HQ22" s="26"/>
      <c r="HR22" s="26"/>
      <c r="HS22" s="26"/>
      <c r="HT22" s="26"/>
      <c r="HU22" s="26"/>
      <c r="HV22" s="26"/>
      <c r="HW22" s="26"/>
      <c r="HX22" s="26"/>
      <c r="HY22" s="26"/>
      <c r="HZ22" s="26"/>
      <c r="IA22" s="26"/>
      <c r="IB22" s="26"/>
      <c r="IC22" s="26"/>
      <c r="ID22" s="26"/>
      <c r="IE22" s="26"/>
      <c r="IF22" s="26"/>
      <c r="IG22" s="26"/>
      <c r="IH22" s="26"/>
      <c r="II22" s="26"/>
      <c r="IJ22" s="26"/>
      <c r="IK22" s="26"/>
      <c r="IL22" s="26"/>
      <c r="IM22" s="26"/>
      <c r="IN22" s="26"/>
      <c r="IO22" s="26"/>
      <c r="IP22" s="26"/>
      <c r="IQ22" s="26"/>
      <c r="IR22" s="26"/>
      <c r="IS22" s="26"/>
      <c r="IT22" s="26"/>
      <c r="IU22" s="26"/>
      <c r="IV22"/>
    </row>
    <row r="23" spans="1:256" s="23" customFormat="1" ht="171.6">
      <c r="A23" s="66"/>
      <c r="B23" s="36"/>
      <c r="C23" s="36"/>
      <c r="D23" s="49" t="s">
        <v>260</v>
      </c>
      <c r="E23" s="48">
        <v>2</v>
      </c>
      <c r="F23" s="49" t="s">
        <v>402</v>
      </c>
      <c r="G23" s="145" t="s">
        <v>479</v>
      </c>
      <c r="H23" s="52" t="s">
        <v>394</v>
      </c>
      <c r="J23" s="28"/>
      <c r="K23" s="28"/>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c r="FI23" s="26"/>
      <c r="FJ23" s="26"/>
      <c r="FK23" s="26"/>
      <c r="FL23" s="26"/>
      <c r="FM23" s="26"/>
      <c r="FN23" s="26"/>
      <c r="FO23" s="26"/>
      <c r="FP23" s="26"/>
      <c r="FQ23" s="26"/>
      <c r="FR23" s="26"/>
      <c r="FS23" s="26"/>
      <c r="FT23" s="26"/>
      <c r="FU23" s="26"/>
      <c r="FV23" s="26"/>
      <c r="FW23" s="26"/>
      <c r="FX23" s="26"/>
      <c r="FY23" s="26"/>
      <c r="FZ23" s="26"/>
      <c r="GA23" s="26"/>
      <c r="GB23" s="26"/>
      <c r="GC23" s="26"/>
      <c r="GD23" s="26"/>
      <c r="GE23" s="26"/>
      <c r="GF23" s="26"/>
      <c r="GG23" s="26"/>
      <c r="GH23" s="26"/>
      <c r="GI23" s="26"/>
      <c r="GJ23" s="26"/>
      <c r="GK23" s="26"/>
      <c r="GL23" s="26"/>
      <c r="GM23" s="26"/>
      <c r="GN23" s="26"/>
      <c r="GO23" s="26"/>
      <c r="GP23" s="26"/>
      <c r="GQ23" s="26"/>
      <c r="GR23" s="26"/>
      <c r="GS23" s="26"/>
      <c r="GT23" s="26"/>
      <c r="GU23" s="26"/>
      <c r="GV23" s="26"/>
      <c r="GW23" s="26"/>
      <c r="GX23" s="26"/>
      <c r="GY23" s="26"/>
      <c r="GZ23" s="26"/>
      <c r="HA23" s="26"/>
      <c r="HB23" s="26"/>
      <c r="HC23" s="26"/>
      <c r="HD23" s="26"/>
      <c r="HE23" s="26"/>
      <c r="HF23" s="26"/>
      <c r="HG23" s="26"/>
      <c r="HH23" s="26"/>
      <c r="HI23" s="26"/>
      <c r="HJ23" s="26"/>
      <c r="HK23" s="26"/>
      <c r="HL23" s="26"/>
      <c r="HM23" s="26"/>
      <c r="HN23" s="26"/>
      <c r="HO23" s="26"/>
      <c r="HP23" s="26"/>
      <c r="HQ23" s="26"/>
      <c r="HR23" s="26"/>
      <c r="HS23" s="26"/>
      <c r="HT23" s="26"/>
      <c r="HU23" s="26"/>
      <c r="HV23" s="26"/>
      <c r="HW23" s="26"/>
      <c r="HX23" s="26"/>
      <c r="HY23" s="26"/>
      <c r="HZ23" s="26"/>
      <c r="IA23" s="26"/>
      <c r="IB23" s="26"/>
      <c r="IC23" s="26"/>
      <c r="ID23" s="26"/>
      <c r="IE23" s="26"/>
      <c r="IF23" s="26"/>
      <c r="IG23" s="26"/>
      <c r="IH23" s="26"/>
      <c r="II23" s="26"/>
      <c r="IJ23" s="26"/>
      <c r="IK23" s="26"/>
      <c r="IL23" s="26"/>
      <c r="IM23" s="26"/>
      <c r="IN23" s="26"/>
      <c r="IO23" s="26"/>
      <c r="IP23" s="26"/>
      <c r="IQ23" s="26"/>
      <c r="IR23" s="26"/>
      <c r="IS23" s="26"/>
      <c r="IT23" s="26"/>
      <c r="IU23" s="26"/>
      <c r="IV23"/>
    </row>
    <row r="24" spans="1:256" s="23" customFormat="1" ht="66">
      <c r="A24" s="66"/>
      <c r="B24" s="36"/>
      <c r="C24" s="36"/>
      <c r="D24" s="49" t="s">
        <v>261</v>
      </c>
      <c r="E24" s="48">
        <v>2</v>
      </c>
      <c r="F24" s="139" t="s">
        <v>402</v>
      </c>
      <c r="G24" s="49" t="s">
        <v>501</v>
      </c>
      <c r="H24" s="52" t="s">
        <v>394</v>
      </c>
      <c r="J24" s="28"/>
      <c r="K24" s="28"/>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c r="FI24" s="26"/>
      <c r="FJ24" s="26"/>
      <c r="FK24" s="26"/>
      <c r="FL24" s="26"/>
      <c r="FM24" s="26"/>
      <c r="FN24" s="26"/>
      <c r="FO24" s="26"/>
      <c r="FP24" s="26"/>
      <c r="FQ24" s="26"/>
      <c r="FR24" s="26"/>
      <c r="FS24" s="26"/>
      <c r="FT24" s="26"/>
      <c r="FU24" s="26"/>
      <c r="FV24" s="26"/>
      <c r="FW24" s="26"/>
      <c r="FX24" s="26"/>
      <c r="FY24" s="26"/>
      <c r="FZ24" s="26"/>
      <c r="GA24" s="26"/>
      <c r="GB24" s="26"/>
      <c r="GC24" s="26"/>
      <c r="GD24" s="26"/>
      <c r="GE24" s="26"/>
      <c r="GF24" s="26"/>
      <c r="GG24" s="26"/>
      <c r="GH24" s="26"/>
      <c r="GI24" s="26"/>
      <c r="GJ24" s="26"/>
      <c r="GK24" s="26"/>
      <c r="GL24" s="26"/>
      <c r="GM24" s="26"/>
      <c r="GN24" s="26"/>
      <c r="GO24" s="26"/>
      <c r="GP24" s="26"/>
      <c r="GQ24" s="26"/>
      <c r="GR24" s="26"/>
      <c r="GS24" s="26"/>
      <c r="GT24" s="26"/>
      <c r="GU24" s="26"/>
      <c r="GV24" s="26"/>
      <c r="GW24" s="26"/>
      <c r="GX24" s="26"/>
      <c r="GY24" s="26"/>
      <c r="GZ24" s="26"/>
      <c r="HA24" s="26"/>
      <c r="HB24" s="26"/>
      <c r="HC24" s="26"/>
      <c r="HD24" s="26"/>
      <c r="HE24" s="26"/>
      <c r="HF24" s="26"/>
      <c r="HG24" s="26"/>
      <c r="HH24" s="26"/>
      <c r="HI24" s="26"/>
      <c r="HJ24" s="26"/>
      <c r="HK24" s="26"/>
      <c r="HL24" s="26"/>
      <c r="HM24" s="26"/>
      <c r="HN24" s="26"/>
      <c r="HO24" s="26"/>
      <c r="HP24" s="26"/>
      <c r="HQ24" s="26"/>
      <c r="HR24" s="26"/>
      <c r="HS24" s="26"/>
      <c r="HT24" s="26"/>
      <c r="HU24" s="26"/>
      <c r="HV24" s="26"/>
      <c r="HW24" s="26"/>
      <c r="HX24" s="26"/>
      <c r="HY24" s="26"/>
      <c r="HZ24" s="26"/>
      <c r="IA24" s="26"/>
      <c r="IB24" s="26"/>
      <c r="IC24" s="26"/>
      <c r="ID24" s="26"/>
      <c r="IE24" s="26"/>
      <c r="IF24" s="26"/>
      <c r="IG24" s="26"/>
      <c r="IH24" s="26"/>
      <c r="II24" s="26"/>
      <c r="IJ24" s="26"/>
      <c r="IK24" s="26"/>
      <c r="IL24" s="26"/>
      <c r="IM24" s="26"/>
      <c r="IN24" s="26"/>
      <c r="IO24" s="26"/>
      <c r="IP24" s="26"/>
      <c r="IQ24" s="26"/>
      <c r="IR24" s="26"/>
      <c r="IS24" s="26"/>
      <c r="IT24" s="26"/>
      <c r="IU24" s="26"/>
      <c r="IV24"/>
    </row>
    <row r="25" spans="1:256" s="23" customFormat="1" ht="184.8">
      <c r="A25" s="66"/>
      <c r="B25" s="36"/>
      <c r="C25" s="36"/>
      <c r="D25" s="49" t="s">
        <v>262</v>
      </c>
      <c r="E25" s="48">
        <v>2</v>
      </c>
      <c r="F25" s="49" t="s">
        <v>402</v>
      </c>
      <c r="G25" s="183" t="s">
        <v>502</v>
      </c>
      <c r="H25" s="52" t="s">
        <v>394</v>
      </c>
      <c r="J25" s="28"/>
      <c r="K25" s="28"/>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6"/>
      <c r="FI25" s="26"/>
      <c r="FJ25" s="26"/>
      <c r="FK25" s="26"/>
      <c r="FL25" s="26"/>
      <c r="FM25" s="26"/>
      <c r="FN25" s="26"/>
      <c r="FO25" s="26"/>
      <c r="FP25" s="26"/>
      <c r="FQ25" s="26"/>
      <c r="FR25" s="26"/>
      <c r="FS25" s="26"/>
      <c r="FT25" s="26"/>
      <c r="FU25" s="26"/>
      <c r="FV25" s="26"/>
      <c r="FW25" s="26"/>
      <c r="FX25" s="26"/>
      <c r="FY25" s="26"/>
      <c r="FZ25" s="26"/>
      <c r="GA25" s="26"/>
      <c r="GB25" s="26"/>
      <c r="GC25" s="26"/>
      <c r="GD25" s="26"/>
      <c r="GE25" s="26"/>
      <c r="GF25" s="26"/>
      <c r="GG25" s="26"/>
      <c r="GH25" s="26"/>
      <c r="GI25" s="26"/>
      <c r="GJ25" s="26"/>
      <c r="GK25" s="26"/>
      <c r="GL25" s="26"/>
      <c r="GM25" s="26"/>
      <c r="GN25" s="26"/>
      <c r="GO25" s="26"/>
      <c r="GP25" s="26"/>
      <c r="GQ25" s="26"/>
      <c r="GR25" s="26"/>
      <c r="GS25" s="26"/>
      <c r="GT25" s="26"/>
      <c r="GU25" s="26"/>
      <c r="GV25" s="26"/>
      <c r="GW25" s="26"/>
      <c r="GX25" s="26"/>
      <c r="GY25" s="26"/>
      <c r="GZ25" s="26"/>
      <c r="HA25" s="26"/>
      <c r="HB25" s="26"/>
      <c r="HC25" s="26"/>
      <c r="HD25" s="26"/>
      <c r="HE25" s="26"/>
      <c r="HF25" s="26"/>
      <c r="HG25" s="26"/>
      <c r="HH25" s="26"/>
      <c r="HI25" s="26"/>
      <c r="HJ25" s="26"/>
      <c r="HK25" s="26"/>
      <c r="HL25" s="26"/>
      <c r="HM25" s="26"/>
      <c r="HN25" s="26"/>
      <c r="HO25" s="26"/>
      <c r="HP25" s="26"/>
      <c r="HQ25" s="26"/>
      <c r="HR25" s="26"/>
      <c r="HS25" s="26"/>
      <c r="HT25" s="26"/>
      <c r="HU25" s="26"/>
      <c r="HV25" s="26"/>
      <c r="HW25" s="26"/>
      <c r="HX25" s="26"/>
      <c r="HY25" s="26"/>
      <c r="HZ25" s="26"/>
      <c r="IA25" s="26"/>
      <c r="IB25" s="26"/>
      <c r="IC25" s="26"/>
      <c r="ID25" s="26"/>
      <c r="IE25" s="26"/>
      <c r="IF25" s="26"/>
      <c r="IG25" s="26"/>
      <c r="IH25" s="26"/>
      <c r="II25" s="26"/>
      <c r="IJ25" s="26"/>
      <c r="IK25" s="26"/>
      <c r="IL25" s="26"/>
      <c r="IM25" s="26"/>
      <c r="IN25" s="26"/>
      <c r="IO25" s="26"/>
      <c r="IP25" s="26"/>
      <c r="IQ25" s="26"/>
      <c r="IR25" s="26"/>
      <c r="IS25" s="26"/>
      <c r="IT25" s="26"/>
      <c r="IU25" s="26"/>
      <c r="IV25"/>
    </row>
    <row r="26" spans="1:256" s="23" customFormat="1" ht="39.9" customHeight="1">
      <c r="A26" s="66"/>
      <c r="B26" s="36"/>
      <c r="C26" s="36"/>
      <c r="D26" s="49" t="s">
        <v>263</v>
      </c>
      <c r="E26" s="48">
        <v>3</v>
      </c>
      <c r="F26" s="49" t="s">
        <v>402</v>
      </c>
      <c r="G26" s="183" t="s">
        <v>503</v>
      </c>
      <c r="H26" s="52" t="s">
        <v>394</v>
      </c>
      <c r="J26" s="28"/>
      <c r="K26" s="28"/>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c r="FI26" s="26"/>
      <c r="FJ26" s="26"/>
      <c r="FK26" s="26"/>
      <c r="FL26" s="26"/>
      <c r="FM26" s="26"/>
      <c r="FN26" s="26"/>
      <c r="FO26" s="26"/>
      <c r="FP26" s="26"/>
      <c r="FQ26" s="26"/>
      <c r="FR26" s="26"/>
      <c r="FS26" s="26"/>
      <c r="FT26" s="26"/>
      <c r="FU26" s="26"/>
      <c r="FV26" s="26"/>
      <c r="FW26" s="26"/>
      <c r="FX26" s="26"/>
      <c r="FY26" s="26"/>
      <c r="FZ26" s="26"/>
      <c r="GA26" s="26"/>
      <c r="GB26" s="26"/>
      <c r="GC26" s="26"/>
      <c r="GD26" s="26"/>
      <c r="GE26" s="26"/>
      <c r="GF26" s="26"/>
      <c r="GG26" s="26"/>
      <c r="GH26" s="26"/>
      <c r="GI26" s="26"/>
      <c r="GJ26" s="26"/>
      <c r="GK26" s="26"/>
      <c r="GL26" s="26"/>
      <c r="GM26" s="26"/>
      <c r="GN26" s="26"/>
      <c r="GO26" s="26"/>
      <c r="GP26" s="26"/>
      <c r="GQ26" s="26"/>
      <c r="GR26" s="26"/>
      <c r="GS26" s="26"/>
      <c r="GT26" s="26"/>
      <c r="GU26" s="26"/>
      <c r="GV26" s="26"/>
      <c r="GW26" s="26"/>
      <c r="GX26" s="26"/>
      <c r="GY26" s="26"/>
      <c r="GZ26" s="26"/>
      <c r="HA26" s="26"/>
      <c r="HB26" s="26"/>
      <c r="HC26" s="26"/>
      <c r="HD26" s="26"/>
      <c r="HE26" s="26"/>
      <c r="HF26" s="26"/>
      <c r="HG26" s="26"/>
      <c r="HH26" s="26"/>
      <c r="HI26" s="26"/>
      <c r="HJ26" s="26"/>
      <c r="HK26" s="26"/>
      <c r="HL26" s="26"/>
      <c r="HM26" s="26"/>
      <c r="HN26" s="26"/>
      <c r="HO26" s="26"/>
      <c r="HP26" s="26"/>
      <c r="HQ26" s="26"/>
      <c r="HR26" s="26"/>
      <c r="HS26" s="26"/>
      <c r="HT26" s="26"/>
      <c r="HU26" s="26"/>
      <c r="HV26" s="26"/>
      <c r="HW26" s="26"/>
      <c r="HX26" s="26"/>
      <c r="HY26" s="26"/>
      <c r="HZ26" s="26"/>
      <c r="IA26" s="26"/>
      <c r="IB26" s="26"/>
      <c r="IC26" s="26"/>
      <c r="ID26" s="26"/>
      <c r="IE26" s="26"/>
      <c r="IF26" s="26"/>
      <c r="IG26" s="26"/>
      <c r="IH26" s="26"/>
      <c r="II26" s="26"/>
      <c r="IJ26" s="26"/>
      <c r="IK26" s="26"/>
      <c r="IL26" s="26"/>
      <c r="IM26" s="26"/>
      <c r="IN26" s="26"/>
      <c r="IO26" s="26"/>
      <c r="IP26" s="26"/>
      <c r="IQ26" s="26"/>
      <c r="IR26" s="26"/>
      <c r="IS26" s="26"/>
      <c r="IT26" s="26"/>
      <c r="IU26" s="26"/>
      <c r="IV26"/>
    </row>
    <row r="27" spans="1:256" s="23" customFormat="1" ht="264">
      <c r="A27" s="66"/>
      <c r="B27" s="36"/>
      <c r="C27" s="36"/>
      <c r="D27" s="49" t="s">
        <v>264</v>
      </c>
      <c r="E27" s="48">
        <v>3</v>
      </c>
      <c r="F27" s="49" t="s">
        <v>402</v>
      </c>
      <c r="G27" s="49" t="s">
        <v>504</v>
      </c>
      <c r="H27" s="52" t="s">
        <v>394</v>
      </c>
      <c r="J27" s="28"/>
      <c r="K27" s="28"/>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c r="FI27" s="26"/>
      <c r="FJ27" s="26"/>
      <c r="FK27" s="26"/>
      <c r="FL27" s="26"/>
      <c r="FM27" s="26"/>
      <c r="FN27" s="26"/>
      <c r="FO27" s="26"/>
      <c r="FP27" s="26"/>
      <c r="FQ27" s="26"/>
      <c r="FR27" s="26"/>
      <c r="FS27" s="26"/>
      <c r="FT27" s="26"/>
      <c r="FU27" s="26"/>
      <c r="FV27" s="26"/>
      <c r="FW27" s="26"/>
      <c r="FX27" s="26"/>
      <c r="FY27" s="26"/>
      <c r="FZ27" s="26"/>
      <c r="GA27" s="26"/>
      <c r="GB27" s="26"/>
      <c r="GC27" s="26"/>
      <c r="GD27" s="26"/>
      <c r="GE27" s="26"/>
      <c r="GF27" s="26"/>
      <c r="GG27" s="26"/>
      <c r="GH27" s="26"/>
      <c r="GI27" s="26"/>
      <c r="GJ27" s="26"/>
      <c r="GK27" s="26"/>
      <c r="GL27" s="26"/>
      <c r="GM27" s="26"/>
      <c r="GN27" s="26"/>
      <c r="GO27" s="26"/>
      <c r="GP27" s="26"/>
      <c r="GQ27" s="26"/>
      <c r="GR27" s="26"/>
      <c r="GS27" s="26"/>
      <c r="GT27" s="26"/>
      <c r="GU27" s="26"/>
      <c r="GV27" s="26"/>
      <c r="GW27" s="26"/>
      <c r="GX27" s="26"/>
      <c r="GY27" s="26"/>
      <c r="GZ27" s="26"/>
      <c r="HA27" s="26"/>
      <c r="HB27" s="26"/>
      <c r="HC27" s="26"/>
      <c r="HD27" s="26"/>
      <c r="HE27" s="26"/>
      <c r="HF27" s="26"/>
      <c r="HG27" s="26"/>
      <c r="HH27" s="26"/>
      <c r="HI27" s="26"/>
      <c r="HJ27" s="26"/>
      <c r="HK27" s="26"/>
      <c r="HL27" s="26"/>
      <c r="HM27" s="26"/>
      <c r="HN27" s="26"/>
      <c r="HO27" s="26"/>
      <c r="HP27" s="26"/>
      <c r="HQ27" s="26"/>
      <c r="HR27" s="26"/>
      <c r="HS27" s="26"/>
      <c r="HT27" s="26"/>
      <c r="HU27" s="26"/>
      <c r="HV27" s="26"/>
      <c r="HW27" s="26"/>
      <c r="HX27" s="26"/>
      <c r="HY27" s="26"/>
      <c r="HZ27" s="26"/>
      <c r="IA27" s="26"/>
      <c r="IB27" s="26"/>
      <c r="IC27" s="26"/>
      <c r="ID27" s="26"/>
      <c r="IE27" s="26"/>
      <c r="IF27" s="26"/>
      <c r="IG27" s="26"/>
      <c r="IH27" s="26"/>
      <c r="II27" s="26"/>
      <c r="IJ27" s="26"/>
      <c r="IK27" s="26"/>
      <c r="IL27" s="26"/>
      <c r="IM27" s="26"/>
      <c r="IN27" s="26"/>
      <c r="IO27" s="26"/>
      <c r="IP27" s="26"/>
      <c r="IQ27" s="26"/>
      <c r="IR27" s="26"/>
      <c r="IS27" s="26"/>
      <c r="IT27" s="26"/>
      <c r="IU27" s="26"/>
      <c r="IV27"/>
    </row>
    <row r="28" spans="1:256" s="23" customFormat="1" ht="310.5" customHeight="1">
      <c r="A28" s="66"/>
      <c r="B28" s="36"/>
      <c r="C28" s="36"/>
      <c r="D28" s="49" t="s">
        <v>265</v>
      </c>
      <c r="E28" s="48">
        <v>2</v>
      </c>
      <c r="F28" s="49" t="s">
        <v>398</v>
      </c>
      <c r="G28" s="146" t="s">
        <v>515</v>
      </c>
      <c r="H28" s="52" t="s">
        <v>394</v>
      </c>
      <c r="J28" s="28"/>
      <c r="K28" s="28"/>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c r="FI28" s="26"/>
      <c r="FJ28" s="26"/>
      <c r="FK28" s="26"/>
      <c r="FL28" s="26"/>
      <c r="FM28" s="26"/>
      <c r="FN28" s="26"/>
      <c r="FO28" s="26"/>
      <c r="FP28" s="26"/>
      <c r="FQ28" s="26"/>
      <c r="FR28" s="26"/>
      <c r="FS28" s="26"/>
      <c r="FT28" s="26"/>
      <c r="FU28" s="26"/>
      <c r="FV28" s="26"/>
      <c r="FW28" s="26"/>
      <c r="FX28" s="26"/>
      <c r="FY28" s="26"/>
      <c r="FZ28" s="26"/>
      <c r="GA28" s="26"/>
      <c r="GB28" s="26"/>
      <c r="GC28" s="26"/>
      <c r="GD28" s="26"/>
      <c r="GE28" s="26"/>
      <c r="GF28" s="26"/>
      <c r="GG28" s="26"/>
      <c r="GH28" s="26"/>
      <c r="GI28" s="26"/>
      <c r="GJ28" s="26"/>
      <c r="GK28" s="26"/>
      <c r="GL28" s="26"/>
      <c r="GM28" s="26"/>
      <c r="GN28" s="26"/>
      <c r="GO28" s="26"/>
      <c r="GP28" s="26"/>
      <c r="GQ28" s="26"/>
      <c r="GR28" s="26"/>
      <c r="GS28" s="26"/>
      <c r="GT28" s="26"/>
      <c r="GU28" s="26"/>
      <c r="GV28" s="26"/>
      <c r="GW28" s="26"/>
      <c r="GX28" s="26"/>
      <c r="GY28" s="26"/>
      <c r="GZ28" s="26"/>
      <c r="HA28" s="26"/>
      <c r="HB28" s="26"/>
      <c r="HC28" s="26"/>
      <c r="HD28" s="26"/>
      <c r="HE28" s="26"/>
      <c r="HF28" s="26"/>
      <c r="HG28" s="26"/>
      <c r="HH28" s="26"/>
      <c r="HI28" s="26"/>
      <c r="HJ28" s="26"/>
      <c r="HK28" s="26"/>
      <c r="HL28" s="26"/>
      <c r="HM28" s="26"/>
      <c r="HN28" s="26"/>
      <c r="HO28" s="26"/>
      <c r="HP28" s="26"/>
      <c r="HQ28" s="26"/>
      <c r="HR28" s="26"/>
      <c r="HS28" s="26"/>
      <c r="HT28" s="26"/>
      <c r="HU28" s="26"/>
      <c r="HV28" s="26"/>
      <c r="HW28" s="26"/>
      <c r="HX28" s="26"/>
      <c r="HY28" s="26"/>
      <c r="HZ28" s="26"/>
      <c r="IA28" s="26"/>
      <c r="IB28" s="26"/>
      <c r="IC28" s="26"/>
      <c r="ID28" s="26"/>
      <c r="IE28" s="26"/>
      <c r="IF28" s="26"/>
      <c r="IG28" s="26"/>
      <c r="IH28" s="26"/>
      <c r="II28" s="26"/>
      <c r="IJ28" s="26"/>
      <c r="IK28" s="26"/>
      <c r="IL28" s="26"/>
      <c r="IM28" s="26"/>
      <c r="IN28" s="26"/>
      <c r="IO28" s="26"/>
      <c r="IP28" s="26"/>
      <c r="IQ28" s="26"/>
      <c r="IR28" s="26"/>
      <c r="IS28" s="26"/>
      <c r="IT28" s="26"/>
      <c r="IU28" s="26"/>
      <c r="IV28"/>
    </row>
    <row r="29" spans="1:256" s="23" customFormat="1" ht="91.5" customHeight="1">
      <c r="A29" s="66"/>
      <c r="B29" s="36"/>
      <c r="C29" s="36"/>
      <c r="D29" s="49" t="s">
        <v>266</v>
      </c>
      <c r="E29" s="48">
        <v>2</v>
      </c>
      <c r="F29" s="142" t="s">
        <v>453</v>
      </c>
      <c r="G29" s="49"/>
      <c r="H29" s="52" t="s">
        <v>394</v>
      </c>
      <c r="J29" s="28"/>
      <c r="K29" s="28"/>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26"/>
      <c r="FG29" s="26"/>
      <c r="FH29" s="26"/>
      <c r="FI29" s="26"/>
      <c r="FJ29" s="26"/>
      <c r="FK29" s="26"/>
      <c r="FL29" s="26"/>
      <c r="FM29" s="26"/>
      <c r="FN29" s="26"/>
      <c r="FO29" s="26"/>
      <c r="FP29" s="26"/>
      <c r="FQ29" s="26"/>
      <c r="FR29" s="26"/>
      <c r="FS29" s="26"/>
      <c r="FT29" s="26"/>
      <c r="FU29" s="26"/>
      <c r="FV29" s="26"/>
      <c r="FW29" s="26"/>
      <c r="FX29" s="26"/>
      <c r="FY29" s="26"/>
      <c r="FZ29" s="26"/>
      <c r="GA29" s="26"/>
      <c r="GB29" s="26"/>
      <c r="GC29" s="26"/>
      <c r="GD29" s="26"/>
      <c r="GE29" s="26"/>
      <c r="GF29" s="26"/>
      <c r="GG29" s="26"/>
      <c r="GH29" s="26"/>
      <c r="GI29" s="26"/>
      <c r="GJ29" s="26"/>
      <c r="GK29" s="26"/>
      <c r="GL29" s="26"/>
      <c r="GM29" s="26"/>
      <c r="GN29" s="26"/>
      <c r="GO29" s="26"/>
      <c r="GP29" s="26"/>
      <c r="GQ29" s="26"/>
      <c r="GR29" s="26"/>
      <c r="GS29" s="26"/>
      <c r="GT29" s="26"/>
      <c r="GU29" s="26"/>
      <c r="GV29" s="26"/>
      <c r="GW29" s="26"/>
      <c r="GX29" s="26"/>
      <c r="GY29" s="26"/>
      <c r="GZ29" s="26"/>
      <c r="HA29" s="26"/>
      <c r="HB29" s="26"/>
      <c r="HC29" s="26"/>
      <c r="HD29" s="26"/>
      <c r="HE29" s="26"/>
      <c r="HF29" s="26"/>
      <c r="HG29" s="26"/>
      <c r="HH29" s="26"/>
      <c r="HI29" s="26"/>
      <c r="HJ29" s="26"/>
      <c r="HK29" s="26"/>
      <c r="HL29" s="26"/>
      <c r="HM29" s="26"/>
      <c r="HN29" s="26"/>
      <c r="HO29" s="26"/>
      <c r="HP29" s="26"/>
      <c r="HQ29" s="26"/>
      <c r="HR29" s="26"/>
      <c r="HS29" s="26"/>
      <c r="HT29" s="26"/>
      <c r="HU29" s="26"/>
      <c r="HV29" s="26"/>
      <c r="HW29" s="26"/>
      <c r="HX29" s="26"/>
      <c r="HY29" s="26"/>
      <c r="HZ29" s="26"/>
      <c r="IA29" s="26"/>
      <c r="IB29" s="26"/>
      <c r="IC29" s="26"/>
      <c r="ID29" s="26"/>
      <c r="IE29" s="26"/>
      <c r="IF29" s="26"/>
      <c r="IG29" s="26"/>
      <c r="IH29" s="26"/>
      <c r="II29" s="26"/>
      <c r="IJ29" s="26"/>
      <c r="IK29" s="26"/>
      <c r="IL29" s="26"/>
      <c r="IM29" s="26"/>
      <c r="IN29" s="26"/>
      <c r="IO29" s="26"/>
      <c r="IP29" s="26"/>
      <c r="IQ29" s="26"/>
      <c r="IR29" s="26"/>
      <c r="IS29" s="26"/>
      <c r="IT29" s="26"/>
      <c r="IU29" s="26"/>
      <c r="IV29"/>
    </row>
    <row r="30" spans="1:256" s="23" customFormat="1" ht="306.89999999999998" customHeight="1">
      <c r="A30" s="66"/>
      <c r="B30" s="36"/>
      <c r="C30" s="36"/>
      <c r="D30" s="49" t="s">
        <v>267</v>
      </c>
      <c r="E30" s="48">
        <v>2</v>
      </c>
      <c r="F30" s="140" t="s">
        <v>454</v>
      </c>
      <c r="G30" s="146" t="s">
        <v>516</v>
      </c>
      <c r="H30" s="52" t="s">
        <v>394</v>
      </c>
      <c r="J30" s="28"/>
      <c r="K30" s="28"/>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c r="FJ30" s="26"/>
      <c r="FK30" s="26"/>
      <c r="FL30" s="26"/>
      <c r="FM30" s="26"/>
      <c r="FN30" s="26"/>
      <c r="FO30" s="26"/>
      <c r="FP30" s="26"/>
      <c r="FQ30" s="26"/>
      <c r="FR30" s="26"/>
      <c r="FS30" s="26"/>
      <c r="FT30" s="26"/>
      <c r="FU30" s="26"/>
      <c r="FV30" s="26"/>
      <c r="FW30" s="26"/>
      <c r="FX30" s="26"/>
      <c r="FY30" s="26"/>
      <c r="FZ30" s="26"/>
      <c r="GA30" s="26"/>
      <c r="GB30" s="26"/>
      <c r="GC30" s="26"/>
      <c r="GD30" s="26"/>
      <c r="GE30" s="26"/>
      <c r="GF30" s="26"/>
      <c r="GG30" s="26"/>
      <c r="GH30" s="26"/>
      <c r="GI30" s="26"/>
      <c r="GJ30" s="26"/>
      <c r="GK30" s="26"/>
      <c r="GL30" s="26"/>
      <c r="GM30" s="26"/>
      <c r="GN30" s="26"/>
      <c r="GO30" s="26"/>
      <c r="GP30" s="26"/>
      <c r="GQ30" s="26"/>
      <c r="GR30" s="26"/>
      <c r="GS30" s="26"/>
      <c r="GT30" s="26"/>
      <c r="GU30" s="26"/>
      <c r="GV30" s="26"/>
      <c r="GW30" s="26"/>
      <c r="GX30" s="26"/>
      <c r="GY30" s="26"/>
      <c r="GZ30" s="26"/>
      <c r="HA30" s="26"/>
      <c r="HB30" s="26"/>
      <c r="HC30" s="26"/>
      <c r="HD30" s="26"/>
      <c r="HE30" s="26"/>
      <c r="HF30" s="26"/>
      <c r="HG30" s="26"/>
      <c r="HH30" s="26"/>
      <c r="HI30" s="26"/>
      <c r="HJ30" s="26"/>
      <c r="HK30" s="26"/>
      <c r="HL30" s="26"/>
      <c r="HM30" s="26"/>
      <c r="HN30" s="26"/>
      <c r="HO30" s="26"/>
      <c r="HP30" s="26"/>
      <c r="HQ30" s="26"/>
      <c r="HR30" s="26"/>
      <c r="HS30" s="26"/>
      <c r="HT30" s="26"/>
      <c r="HU30" s="26"/>
      <c r="HV30" s="26"/>
      <c r="HW30" s="26"/>
      <c r="HX30" s="26"/>
      <c r="HY30" s="26"/>
      <c r="HZ30" s="26"/>
      <c r="IA30" s="26"/>
      <c r="IB30" s="26"/>
      <c r="IC30" s="26"/>
      <c r="ID30" s="26"/>
      <c r="IE30" s="26"/>
      <c r="IF30" s="26"/>
      <c r="IG30" s="26"/>
      <c r="IH30" s="26"/>
      <c r="II30" s="26"/>
      <c r="IJ30" s="26"/>
      <c r="IK30" s="26"/>
      <c r="IL30" s="26"/>
      <c r="IM30" s="26"/>
      <c r="IN30" s="26"/>
      <c r="IO30" s="26"/>
      <c r="IP30" s="26"/>
      <c r="IQ30" s="26"/>
      <c r="IR30" s="26"/>
      <c r="IS30" s="26"/>
      <c r="IT30" s="26"/>
      <c r="IU30" s="26"/>
      <c r="IV30"/>
    </row>
    <row r="31" spans="1:256" s="23" customFormat="1" ht="105" customHeight="1">
      <c r="A31" s="45">
        <v>3</v>
      </c>
      <c r="B31" s="36" t="s">
        <v>268</v>
      </c>
      <c r="C31" s="36" t="s">
        <v>269</v>
      </c>
      <c r="D31" s="49" t="s">
        <v>270</v>
      </c>
      <c r="E31" s="48">
        <v>2</v>
      </c>
      <c r="F31" s="140" t="s">
        <v>455</v>
      </c>
      <c r="G31" s="140" t="s">
        <v>452</v>
      </c>
      <c r="H31" s="52" t="s">
        <v>397</v>
      </c>
      <c r="J31" s="28"/>
      <c r="K31" s="28"/>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26"/>
      <c r="FG31" s="26"/>
      <c r="FH31" s="26"/>
      <c r="FI31" s="26"/>
      <c r="FJ31" s="26"/>
      <c r="FK31" s="26"/>
      <c r="FL31" s="26"/>
      <c r="FM31" s="26"/>
      <c r="FN31" s="26"/>
      <c r="FO31" s="26"/>
      <c r="FP31" s="26"/>
      <c r="FQ31" s="26"/>
      <c r="FR31" s="26"/>
      <c r="FS31" s="26"/>
      <c r="FT31" s="26"/>
      <c r="FU31" s="26"/>
      <c r="FV31" s="26"/>
      <c r="FW31" s="26"/>
      <c r="FX31" s="26"/>
      <c r="FY31" s="26"/>
      <c r="FZ31" s="26"/>
      <c r="GA31" s="26"/>
      <c r="GB31" s="26"/>
      <c r="GC31" s="26"/>
      <c r="GD31" s="26"/>
      <c r="GE31" s="26"/>
      <c r="GF31" s="26"/>
      <c r="GG31" s="26"/>
      <c r="GH31" s="26"/>
      <c r="GI31" s="26"/>
      <c r="GJ31" s="26"/>
      <c r="GK31" s="26"/>
      <c r="GL31" s="26"/>
      <c r="GM31" s="26"/>
      <c r="GN31" s="26"/>
      <c r="GO31" s="26"/>
      <c r="GP31" s="26"/>
      <c r="GQ31" s="26"/>
      <c r="GR31" s="26"/>
      <c r="GS31" s="26"/>
      <c r="GT31" s="26"/>
      <c r="GU31" s="26"/>
      <c r="GV31" s="26"/>
      <c r="GW31" s="26"/>
      <c r="GX31" s="26"/>
      <c r="GY31" s="26"/>
      <c r="GZ31" s="26"/>
      <c r="HA31" s="26"/>
      <c r="HB31" s="26"/>
      <c r="HC31" s="26"/>
      <c r="HD31" s="26"/>
      <c r="HE31" s="26"/>
      <c r="HF31" s="26"/>
      <c r="HG31" s="26"/>
      <c r="HH31" s="26"/>
      <c r="HI31" s="26"/>
      <c r="HJ31" s="26"/>
      <c r="HK31" s="26"/>
      <c r="HL31" s="26"/>
      <c r="HM31" s="26"/>
      <c r="HN31" s="26"/>
      <c r="HO31" s="26"/>
      <c r="HP31" s="26"/>
      <c r="HQ31" s="26"/>
      <c r="HR31" s="26"/>
      <c r="HS31" s="26"/>
      <c r="HT31" s="26"/>
      <c r="HU31" s="26"/>
      <c r="HV31" s="26"/>
      <c r="HW31" s="26"/>
      <c r="HX31" s="26"/>
      <c r="HY31" s="26"/>
      <c r="HZ31" s="26"/>
      <c r="IA31" s="26"/>
      <c r="IB31" s="26"/>
      <c r="IC31" s="26"/>
      <c r="ID31" s="26"/>
      <c r="IE31" s="26"/>
      <c r="IF31" s="26"/>
      <c r="IG31" s="26"/>
      <c r="IH31" s="26"/>
      <c r="II31" s="26"/>
      <c r="IJ31" s="26"/>
      <c r="IK31" s="26"/>
      <c r="IL31" s="26"/>
      <c r="IM31" s="26"/>
      <c r="IN31" s="26"/>
      <c r="IO31" s="26"/>
      <c r="IP31" s="26"/>
      <c r="IQ31" s="26"/>
      <c r="IR31" s="26"/>
      <c r="IS31" s="26"/>
      <c r="IT31" s="26"/>
      <c r="IU31" s="26"/>
      <c r="IV31"/>
    </row>
    <row r="32" spans="1:256" s="23" customFormat="1" ht="105" customHeight="1">
      <c r="A32" s="66"/>
      <c r="B32" s="36"/>
      <c r="C32" s="36"/>
      <c r="D32" s="49" t="s">
        <v>271</v>
      </c>
      <c r="E32" s="48">
        <v>2</v>
      </c>
      <c r="F32" s="140" t="s">
        <v>455</v>
      </c>
      <c r="G32" s="140" t="s">
        <v>452</v>
      </c>
      <c r="H32" s="141" t="s">
        <v>456</v>
      </c>
      <c r="J32" s="28"/>
      <c r="K32" s="28"/>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26"/>
      <c r="FC32" s="26"/>
      <c r="FD32" s="26"/>
      <c r="FE32" s="26"/>
      <c r="FF32" s="26"/>
      <c r="FG32" s="26"/>
      <c r="FH32" s="26"/>
      <c r="FI32" s="26"/>
      <c r="FJ32" s="26"/>
      <c r="FK32" s="26"/>
      <c r="FL32" s="26"/>
      <c r="FM32" s="26"/>
      <c r="FN32" s="26"/>
      <c r="FO32" s="26"/>
      <c r="FP32" s="26"/>
      <c r="FQ32" s="26"/>
      <c r="FR32" s="26"/>
      <c r="FS32" s="26"/>
      <c r="FT32" s="26"/>
      <c r="FU32" s="26"/>
      <c r="FV32" s="26"/>
      <c r="FW32" s="26"/>
      <c r="FX32" s="26"/>
      <c r="FY32" s="26"/>
      <c r="FZ32" s="26"/>
      <c r="GA32" s="26"/>
      <c r="GB32" s="26"/>
      <c r="GC32" s="26"/>
      <c r="GD32" s="26"/>
      <c r="GE32" s="26"/>
      <c r="GF32" s="26"/>
      <c r="GG32" s="26"/>
      <c r="GH32" s="26"/>
      <c r="GI32" s="26"/>
      <c r="GJ32" s="26"/>
      <c r="GK32" s="26"/>
      <c r="GL32" s="26"/>
      <c r="GM32" s="26"/>
      <c r="GN32" s="26"/>
      <c r="GO32" s="26"/>
      <c r="GP32" s="26"/>
      <c r="GQ32" s="26"/>
      <c r="GR32" s="26"/>
      <c r="GS32" s="26"/>
      <c r="GT32" s="26"/>
      <c r="GU32" s="26"/>
      <c r="GV32" s="26"/>
      <c r="GW32" s="26"/>
      <c r="GX32" s="26"/>
      <c r="GY32" s="26"/>
      <c r="GZ32" s="26"/>
      <c r="HA32" s="26"/>
      <c r="HB32" s="26"/>
      <c r="HC32" s="26"/>
      <c r="HD32" s="26"/>
      <c r="HE32" s="26"/>
      <c r="HF32" s="26"/>
      <c r="HG32" s="26"/>
      <c r="HH32" s="26"/>
      <c r="HI32" s="26"/>
      <c r="HJ32" s="26"/>
      <c r="HK32" s="26"/>
      <c r="HL32" s="26"/>
      <c r="HM32" s="26"/>
      <c r="HN32" s="26"/>
      <c r="HO32" s="26"/>
      <c r="HP32" s="26"/>
      <c r="HQ32" s="26"/>
      <c r="HR32" s="26"/>
      <c r="HS32" s="26"/>
      <c r="HT32" s="26"/>
      <c r="HU32" s="26"/>
      <c r="HV32" s="26"/>
      <c r="HW32" s="26"/>
      <c r="HX32" s="26"/>
      <c r="HY32" s="26"/>
      <c r="HZ32" s="26"/>
      <c r="IA32" s="26"/>
      <c r="IB32" s="26"/>
      <c r="IC32" s="26"/>
      <c r="ID32" s="26"/>
      <c r="IE32" s="26"/>
      <c r="IF32" s="26"/>
      <c r="IG32" s="26"/>
      <c r="IH32" s="26"/>
      <c r="II32" s="26"/>
      <c r="IJ32" s="26"/>
      <c r="IK32" s="26"/>
      <c r="IL32" s="26"/>
      <c r="IM32" s="26"/>
      <c r="IN32" s="26"/>
      <c r="IO32" s="26"/>
      <c r="IP32" s="26"/>
      <c r="IQ32" s="26"/>
      <c r="IR32" s="26"/>
      <c r="IS32" s="26"/>
      <c r="IT32" s="26"/>
      <c r="IU32" s="26"/>
      <c r="IV32"/>
    </row>
    <row r="33" spans="1:256" s="23" customFormat="1" ht="104.4" customHeight="1">
      <c r="A33" s="66"/>
      <c r="B33" s="36"/>
      <c r="C33" s="36"/>
      <c r="D33" s="49" t="s">
        <v>272</v>
      </c>
      <c r="E33" s="48">
        <v>2</v>
      </c>
      <c r="F33" s="140" t="s">
        <v>455</v>
      </c>
      <c r="G33" s="140" t="s">
        <v>452</v>
      </c>
      <c r="H33" s="52" t="s">
        <v>428</v>
      </c>
      <c r="J33" s="28"/>
      <c r="K33" s="28"/>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26"/>
      <c r="FC33" s="26"/>
      <c r="FD33" s="26"/>
      <c r="FE33" s="26"/>
      <c r="FF33" s="26"/>
      <c r="FG33" s="26"/>
      <c r="FH33" s="26"/>
      <c r="FI33" s="26"/>
      <c r="FJ33" s="26"/>
      <c r="FK33" s="26"/>
      <c r="FL33" s="26"/>
      <c r="FM33" s="26"/>
      <c r="FN33" s="26"/>
      <c r="FO33" s="26"/>
      <c r="FP33" s="26"/>
      <c r="FQ33" s="26"/>
      <c r="FR33" s="26"/>
      <c r="FS33" s="26"/>
      <c r="FT33" s="26"/>
      <c r="FU33" s="26"/>
      <c r="FV33" s="26"/>
      <c r="FW33" s="26"/>
      <c r="FX33" s="26"/>
      <c r="FY33" s="26"/>
      <c r="FZ33" s="26"/>
      <c r="GA33" s="26"/>
      <c r="GB33" s="26"/>
      <c r="GC33" s="26"/>
      <c r="GD33" s="26"/>
      <c r="GE33" s="26"/>
      <c r="GF33" s="26"/>
      <c r="GG33" s="26"/>
      <c r="GH33" s="26"/>
      <c r="GI33" s="26"/>
      <c r="GJ33" s="26"/>
      <c r="GK33" s="26"/>
      <c r="GL33" s="26"/>
      <c r="GM33" s="26"/>
      <c r="GN33" s="26"/>
      <c r="GO33" s="26"/>
      <c r="GP33" s="26"/>
      <c r="GQ33" s="26"/>
      <c r="GR33" s="26"/>
      <c r="GS33" s="26"/>
      <c r="GT33" s="26"/>
      <c r="GU33" s="26"/>
      <c r="GV33" s="26"/>
      <c r="GW33" s="26"/>
      <c r="GX33" s="26"/>
      <c r="GY33" s="26"/>
      <c r="GZ33" s="26"/>
      <c r="HA33" s="26"/>
      <c r="HB33" s="26"/>
      <c r="HC33" s="26"/>
      <c r="HD33" s="26"/>
      <c r="HE33" s="26"/>
      <c r="HF33" s="26"/>
      <c r="HG33" s="26"/>
      <c r="HH33" s="26"/>
      <c r="HI33" s="26"/>
      <c r="HJ33" s="26"/>
      <c r="HK33" s="26"/>
      <c r="HL33" s="26"/>
      <c r="HM33" s="26"/>
      <c r="HN33" s="26"/>
      <c r="HO33" s="26"/>
      <c r="HP33" s="26"/>
      <c r="HQ33" s="26"/>
      <c r="HR33" s="26"/>
      <c r="HS33" s="26"/>
      <c r="HT33" s="26"/>
      <c r="HU33" s="26"/>
      <c r="HV33" s="26"/>
      <c r="HW33" s="26"/>
      <c r="HX33" s="26"/>
      <c r="HY33" s="26"/>
      <c r="HZ33" s="26"/>
      <c r="IA33" s="26"/>
      <c r="IB33" s="26"/>
      <c r="IC33" s="26"/>
      <c r="ID33" s="26"/>
      <c r="IE33" s="26"/>
      <c r="IF33" s="26"/>
      <c r="IG33" s="26"/>
      <c r="IH33" s="26"/>
      <c r="II33" s="26"/>
      <c r="IJ33" s="26"/>
      <c r="IK33" s="26"/>
      <c r="IL33" s="26"/>
      <c r="IM33" s="26"/>
      <c r="IN33" s="26"/>
      <c r="IO33" s="26"/>
      <c r="IP33" s="26"/>
      <c r="IQ33" s="26"/>
      <c r="IR33" s="26"/>
      <c r="IS33" s="26"/>
      <c r="IT33" s="26"/>
      <c r="IU33" s="26"/>
      <c r="IV33"/>
    </row>
    <row r="34" spans="1:256" s="23" customFormat="1" ht="107.1" customHeight="1">
      <c r="A34" s="66"/>
      <c r="B34" s="36"/>
      <c r="C34" s="36"/>
      <c r="D34" s="49" t="s">
        <v>273</v>
      </c>
      <c r="E34" s="48">
        <v>2</v>
      </c>
      <c r="F34" s="140" t="s">
        <v>455</v>
      </c>
      <c r="G34" s="140" t="s">
        <v>452</v>
      </c>
      <c r="H34" s="52" t="s">
        <v>428</v>
      </c>
      <c r="J34" s="28"/>
      <c r="K34" s="28"/>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26"/>
      <c r="FC34" s="26"/>
      <c r="FD34" s="26"/>
      <c r="FE34" s="26"/>
      <c r="FF34" s="26"/>
      <c r="FG34" s="26"/>
      <c r="FH34" s="26"/>
      <c r="FI34" s="26"/>
      <c r="FJ34" s="26"/>
      <c r="FK34" s="26"/>
      <c r="FL34" s="26"/>
      <c r="FM34" s="26"/>
      <c r="FN34" s="26"/>
      <c r="FO34" s="26"/>
      <c r="FP34" s="26"/>
      <c r="FQ34" s="26"/>
      <c r="FR34" s="26"/>
      <c r="FS34" s="26"/>
      <c r="FT34" s="26"/>
      <c r="FU34" s="26"/>
      <c r="FV34" s="26"/>
      <c r="FW34" s="26"/>
      <c r="FX34" s="26"/>
      <c r="FY34" s="26"/>
      <c r="FZ34" s="26"/>
      <c r="GA34" s="26"/>
      <c r="GB34" s="26"/>
      <c r="GC34" s="26"/>
      <c r="GD34" s="26"/>
      <c r="GE34" s="26"/>
      <c r="GF34" s="26"/>
      <c r="GG34" s="26"/>
      <c r="GH34" s="26"/>
      <c r="GI34" s="26"/>
      <c r="GJ34" s="26"/>
      <c r="GK34" s="26"/>
      <c r="GL34" s="26"/>
      <c r="GM34" s="26"/>
      <c r="GN34" s="26"/>
      <c r="GO34" s="26"/>
      <c r="GP34" s="26"/>
      <c r="GQ34" s="26"/>
      <c r="GR34" s="26"/>
      <c r="GS34" s="26"/>
      <c r="GT34" s="26"/>
      <c r="GU34" s="26"/>
      <c r="GV34" s="26"/>
      <c r="GW34" s="26"/>
      <c r="GX34" s="26"/>
      <c r="GY34" s="26"/>
      <c r="GZ34" s="26"/>
      <c r="HA34" s="26"/>
      <c r="HB34" s="26"/>
      <c r="HC34" s="26"/>
      <c r="HD34" s="26"/>
      <c r="HE34" s="26"/>
      <c r="HF34" s="26"/>
      <c r="HG34" s="26"/>
      <c r="HH34" s="26"/>
      <c r="HI34" s="26"/>
      <c r="HJ34" s="26"/>
      <c r="HK34" s="26"/>
      <c r="HL34" s="26"/>
      <c r="HM34" s="26"/>
      <c r="HN34" s="26"/>
      <c r="HO34" s="26"/>
      <c r="HP34" s="26"/>
      <c r="HQ34" s="26"/>
      <c r="HR34" s="26"/>
      <c r="HS34" s="26"/>
      <c r="HT34" s="26"/>
      <c r="HU34" s="26"/>
      <c r="HV34" s="26"/>
      <c r="HW34" s="26"/>
      <c r="HX34" s="26"/>
      <c r="HY34" s="26"/>
      <c r="HZ34" s="26"/>
      <c r="IA34" s="26"/>
      <c r="IB34" s="26"/>
      <c r="IC34" s="26"/>
      <c r="ID34" s="26"/>
      <c r="IE34" s="26"/>
      <c r="IF34" s="26"/>
      <c r="IG34" s="26"/>
      <c r="IH34" s="26"/>
      <c r="II34" s="26"/>
      <c r="IJ34" s="26"/>
      <c r="IK34" s="26"/>
      <c r="IL34" s="26"/>
      <c r="IM34" s="26"/>
      <c r="IN34" s="26"/>
      <c r="IO34" s="26"/>
      <c r="IP34" s="26"/>
      <c r="IQ34" s="26"/>
      <c r="IR34" s="26"/>
      <c r="IS34" s="26"/>
      <c r="IT34" s="26"/>
      <c r="IU34" s="26"/>
      <c r="IV34"/>
    </row>
    <row r="35" spans="1:256" s="23" customFormat="1" ht="184.8">
      <c r="A35" s="66"/>
      <c r="B35" s="36"/>
      <c r="C35" s="36"/>
      <c r="D35" s="49" t="s">
        <v>274</v>
      </c>
      <c r="E35" s="48">
        <v>3</v>
      </c>
      <c r="F35" s="49" t="s">
        <v>403</v>
      </c>
      <c r="G35" s="49"/>
      <c r="H35" s="52" t="s">
        <v>428</v>
      </c>
      <c r="J35" s="28"/>
      <c r="K35" s="28"/>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c r="DL35" s="26"/>
      <c r="DM35" s="26"/>
      <c r="DN35" s="26"/>
      <c r="DO35" s="26"/>
      <c r="DP35" s="26"/>
      <c r="DQ35" s="26"/>
      <c r="DR35" s="26"/>
      <c r="DS35" s="26"/>
      <c r="DT35" s="26"/>
      <c r="DU35" s="26"/>
      <c r="DV35" s="26"/>
      <c r="DW35" s="26"/>
      <c r="DX35" s="26"/>
      <c r="DY35" s="26"/>
      <c r="DZ35" s="26"/>
      <c r="EA35" s="26"/>
      <c r="EB35" s="26"/>
      <c r="EC35" s="26"/>
      <c r="ED35" s="26"/>
      <c r="EE35" s="26"/>
      <c r="EF35" s="26"/>
      <c r="EG35" s="26"/>
      <c r="EH35" s="26"/>
      <c r="EI35" s="26"/>
      <c r="EJ35" s="26"/>
      <c r="EK35" s="26"/>
      <c r="EL35" s="26"/>
      <c r="EM35" s="26"/>
      <c r="EN35" s="26"/>
      <c r="EO35" s="26"/>
      <c r="EP35" s="26"/>
      <c r="EQ35" s="26"/>
      <c r="ER35" s="26"/>
      <c r="ES35" s="26"/>
      <c r="ET35" s="26"/>
      <c r="EU35" s="26"/>
      <c r="EV35" s="26"/>
      <c r="EW35" s="26"/>
      <c r="EX35" s="26"/>
      <c r="EY35" s="26"/>
      <c r="EZ35" s="26"/>
      <c r="FA35" s="26"/>
      <c r="FB35" s="26"/>
      <c r="FC35" s="26"/>
      <c r="FD35" s="26"/>
      <c r="FE35" s="26"/>
      <c r="FF35" s="26"/>
      <c r="FG35" s="26"/>
      <c r="FH35" s="26"/>
      <c r="FI35" s="26"/>
      <c r="FJ35" s="26"/>
      <c r="FK35" s="26"/>
      <c r="FL35" s="26"/>
      <c r="FM35" s="26"/>
      <c r="FN35" s="26"/>
      <c r="FO35" s="26"/>
      <c r="FP35" s="26"/>
      <c r="FQ35" s="26"/>
      <c r="FR35" s="26"/>
      <c r="FS35" s="26"/>
      <c r="FT35" s="26"/>
      <c r="FU35" s="26"/>
      <c r="FV35" s="26"/>
      <c r="FW35" s="26"/>
      <c r="FX35" s="26"/>
      <c r="FY35" s="26"/>
      <c r="FZ35" s="26"/>
      <c r="GA35" s="26"/>
      <c r="GB35" s="26"/>
      <c r="GC35" s="26"/>
      <c r="GD35" s="26"/>
      <c r="GE35" s="26"/>
      <c r="GF35" s="26"/>
      <c r="GG35" s="26"/>
      <c r="GH35" s="26"/>
      <c r="GI35" s="26"/>
      <c r="GJ35" s="26"/>
      <c r="GK35" s="26"/>
      <c r="GL35" s="26"/>
      <c r="GM35" s="26"/>
      <c r="GN35" s="26"/>
      <c r="GO35" s="26"/>
      <c r="GP35" s="26"/>
      <c r="GQ35" s="26"/>
      <c r="GR35" s="26"/>
      <c r="GS35" s="26"/>
      <c r="GT35" s="26"/>
      <c r="GU35" s="26"/>
      <c r="GV35" s="26"/>
      <c r="GW35" s="26"/>
      <c r="GX35" s="26"/>
      <c r="GY35" s="26"/>
      <c r="GZ35" s="26"/>
      <c r="HA35" s="26"/>
      <c r="HB35" s="26"/>
      <c r="HC35" s="26"/>
      <c r="HD35" s="26"/>
      <c r="HE35" s="26"/>
      <c r="HF35" s="26"/>
      <c r="HG35" s="26"/>
      <c r="HH35" s="26"/>
      <c r="HI35" s="26"/>
      <c r="HJ35" s="26"/>
      <c r="HK35" s="26"/>
      <c r="HL35" s="26"/>
      <c r="HM35" s="26"/>
      <c r="HN35" s="26"/>
      <c r="HO35" s="26"/>
      <c r="HP35" s="26"/>
      <c r="HQ35" s="26"/>
      <c r="HR35" s="26"/>
      <c r="HS35" s="26"/>
      <c r="HT35" s="26"/>
      <c r="HU35" s="26"/>
      <c r="HV35" s="26"/>
      <c r="HW35" s="26"/>
      <c r="HX35" s="26"/>
      <c r="HY35" s="26"/>
      <c r="HZ35" s="26"/>
      <c r="IA35" s="26"/>
      <c r="IB35" s="26"/>
      <c r="IC35" s="26"/>
      <c r="ID35" s="26"/>
      <c r="IE35" s="26"/>
      <c r="IF35" s="26"/>
      <c r="IG35" s="26"/>
      <c r="IH35" s="26"/>
      <c r="II35" s="26"/>
      <c r="IJ35" s="26"/>
      <c r="IK35" s="26"/>
      <c r="IL35" s="26"/>
      <c r="IM35" s="26"/>
      <c r="IN35" s="26"/>
      <c r="IO35" s="26"/>
      <c r="IP35" s="26"/>
      <c r="IQ35" s="26"/>
      <c r="IR35" s="26"/>
      <c r="IS35" s="26"/>
      <c r="IT35" s="26"/>
      <c r="IU35" s="26"/>
      <c r="IV35"/>
    </row>
    <row r="36" spans="1:256" s="23" customFormat="1" ht="184.8">
      <c r="A36" s="66"/>
      <c r="B36" s="36"/>
      <c r="C36" s="36"/>
      <c r="D36" s="49" t="s">
        <v>275</v>
      </c>
      <c r="E36" s="48">
        <v>3</v>
      </c>
      <c r="F36" s="49" t="s">
        <v>403</v>
      </c>
      <c r="G36" s="49"/>
      <c r="H36" s="52" t="s">
        <v>428</v>
      </c>
      <c r="J36" s="28"/>
      <c r="K36" s="28"/>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c r="DS36" s="26"/>
      <c r="DT36" s="26"/>
      <c r="DU36" s="26"/>
      <c r="DV36" s="26"/>
      <c r="DW36" s="26"/>
      <c r="DX36" s="26"/>
      <c r="DY36" s="26"/>
      <c r="DZ36" s="26"/>
      <c r="EA36" s="26"/>
      <c r="EB36" s="26"/>
      <c r="EC36" s="26"/>
      <c r="ED36" s="26"/>
      <c r="EE36" s="26"/>
      <c r="EF36" s="26"/>
      <c r="EG36" s="26"/>
      <c r="EH36" s="26"/>
      <c r="EI36" s="26"/>
      <c r="EJ36" s="26"/>
      <c r="EK36" s="26"/>
      <c r="EL36" s="26"/>
      <c r="EM36" s="26"/>
      <c r="EN36" s="26"/>
      <c r="EO36" s="26"/>
      <c r="EP36" s="26"/>
      <c r="EQ36" s="26"/>
      <c r="ER36" s="26"/>
      <c r="ES36" s="26"/>
      <c r="ET36" s="26"/>
      <c r="EU36" s="26"/>
      <c r="EV36" s="26"/>
      <c r="EW36" s="26"/>
      <c r="EX36" s="26"/>
      <c r="EY36" s="26"/>
      <c r="EZ36" s="26"/>
      <c r="FA36" s="26"/>
      <c r="FB36" s="26"/>
      <c r="FC36" s="26"/>
      <c r="FD36" s="26"/>
      <c r="FE36" s="26"/>
      <c r="FF36" s="26"/>
      <c r="FG36" s="26"/>
      <c r="FH36" s="26"/>
      <c r="FI36" s="26"/>
      <c r="FJ36" s="26"/>
      <c r="FK36" s="26"/>
      <c r="FL36" s="26"/>
      <c r="FM36" s="26"/>
      <c r="FN36" s="26"/>
      <c r="FO36" s="26"/>
      <c r="FP36" s="26"/>
      <c r="FQ36" s="26"/>
      <c r="FR36" s="26"/>
      <c r="FS36" s="26"/>
      <c r="FT36" s="26"/>
      <c r="FU36" s="26"/>
      <c r="FV36" s="26"/>
      <c r="FW36" s="26"/>
      <c r="FX36" s="26"/>
      <c r="FY36" s="26"/>
      <c r="FZ36" s="26"/>
      <c r="GA36" s="26"/>
      <c r="GB36" s="26"/>
      <c r="GC36" s="26"/>
      <c r="GD36" s="26"/>
      <c r="GE36" s="26"/>
      <c r="GF36" s="26"/>
      <c r="GG36" s="26"/>
      <c r="GH36" s="26"/>
      <c r="GI36" s="26"/>
      <c r="GJ36" s="26"/>
      <c r="GK36" s="26"/>
      <c r="GL36" s="26"/>
      <c r="GM36" s="26"/>
      <c r="GN36" s="26"/>
      <c r="GO36" s="26"/>
      <c r="GP36" s="26"/>
      <c r="GQ36" s="26"/>
      <c r="GR36" s="26"/>
      <c r="GS36" s="26"/>
      <c r="GT36" s="26"/>
      <c r="GU36" s="26"/>
      <c r="GV36" s="26"/>
      <c r="GW36" s="26"/>
      <c r="GX36" s="26"/>
      <c r="GY36" s="26"/>
      <c r="GZ36" s="26"/>
      <c r="HA36" s="26"/>
      <c r="HB36" s="26"/>
      <c r="HC36" s="26"/>
      <c r="HD36" s="26"/>
      <c r="HE36" s="26"/>
      <c r="HF36" s="26"/>
      <c r="HG36" s="26"/>
      <c r="HH36" s="26"/>
      <c r="HI36" s="26"/>
      <c r="HJ36" s="26"/>
      <c r="HK36" s="26"/>
      <c r="HL36" s="26"/>
      <c r="HM36" s="26"/>
      <c r="HN36" s="26"/>
      <c r="HO36" s="26"/>
      <c r="HP36" s="26"/>
      <c r="HQ36" s="26"/>
      <c r="HR36" s="26"/>
      <c r="HS36" s="26"/>
      <c r="HT36" s="26"/>
      <c r="HU36" s="26"/>
      <c r="HV36" s="26"/>
      <c r="HW36" s="26"/>
      <c r="HX36" s="26"/>
      <c r="HY36" s="26"/>
      <c r="HZ36" s="26"/>
      <c r="IA36" s="26"/>
      <c r="IB36" s="26"/>
      <c r="IC36" s="26"/>
      <c r="ID36" s="26"/>
      <c r="IE36" s="26"/>
      <c r="IF36" s="26"/>
      <c r="IG36" s="26"/>
      <c r="IH36" s="26"/>
      <c r="II36" s="26"/>
      <c r="IJ36" s="26"/>
      <c r="IK36" s="26"/>
      <c r="IL36" s="26"/>
      <c r="IM36" s="26"/>
      <c r="IN36" s="26"/>
      <c r="IO36" s="26"/>
      <c r="IP36" s="26"/>
      <c r="IQ36" s="26"/>
      <c r="IR36" s="26"/>
      <c r="IS36" s="26"/>
      <c r="IT36" s="26"/>
      <c r="IU36" s="26"/>
      <c r="IV36"/>
    </row>
    <row r="37" spans="1:256" s="23" customFormat="1" ht="145.19999999999999">
      <c r="A37" s="66"/>
      <c r="B37" s="36"/>
      <c r="C37" s="36"/>
      <c r="D37" s="49" t="s">
        <v>276</v>
      </c>
      <c r="E37" s="48">
        <v>3</v>
      </c>
      <c r="F37" s="49" t="s">
        <v>403</v>
      </c>
      <c r="G37" s="49"/>
      <c r="H37" s="52" t="s">
        <v>428</v>
      </c>
      <c r="J37" s="28"/>
      <c r="K37" s="28"/>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6"/>
      <c r="BR37" s="26"/>
      <c r="BS37" s="26"/>
      <c r="BT37" s="26"/>
      <c r="BU37" s="26"/>
      <c r="BV37" s="26"/>
      <c r="BW37" s="26"/>
      <c r="BX37" s="26"/>
      <c r="BY37" s="26"/>
      <c r="BZ37" s="26"/>
      <c r="CA37" s="26"/>
      <c r="CB37" s="26"/>
      <c r="CC37" s="26"/>
      <c r="CD37" s="26"/>
      <c r="CE37" s="26"/>
      <c r="CF37" s="26"/>
      <c r="CG37" s="26"/>
      <c r="CH37" s="26"/>
      <c r="CI37" s="26"/>
      <c r="CJ37" s="26"/>
      <c r="CK37" s="26"/>
      <c r="CL37" s="26"/>
      <c r="CM37" s="26"/>
      <c r="CN37" s="26"/>
      <c r="CO37" s="26"/>
      <c r="CP37" s="26"/>
      <c r="CQ37" s="26"/>
      <c r="CR37" s="26"/>
      <c r="CS37" s="26"/>
      <c r="CT37" s="26"/>
      <c r="CU37" s="26"/>
      <c r="CV37" s="26"/>
      <c r="CW37" s="26"/>
      <c r="CX37" s="26"/>
      <c r="CY37" s="26"/>
      <c r="CZ37" s="26"/>
      <c r="DA37" s="26"/>
      <c r="DB37" s="26"/>
      <c r="DC37" s="26"/>
      <c r="DD37" s="26"/>
      <c r="DE37" s="26"/>
      <c r="DF37" s="26"/>
      <c r="DG37" s="26"/>
      <c r="DH37" s="26"/>
      <c r="DI37" s="26"/>
      <c r="DJ37" s="26"/>
      <c r="DK37" s="26"/>
      <c r="DL37" s="26"/>
      <c r="DM37" s="26"/>
      <c r="DN37" s="26"/>
      <c r="DO37" s="26"/>
      <c r="DP37" s="26"/>
      <c r="DQ37" s="26"/>
      <c r="DR37" s="26"/>
      <c r="DS37" s="26"/>
      <c r="DT37" s="26"/>
      <c r="DU37" s="26"/>
      <c r="DV37" s="26"/>
      <c r="DW37" s="26"/>
      <c r="DX37" s="26"/>
      <c r="DY37" s="26"/>
      <c r="DZ37" s="26"/>
      <c r="EA37" s="26"/>
      <c r="EB37" s="26"/>
      <c r="EC37" s="26"/>
      <c r="ED37" s="26"/>
      <c r="EE37" s="26"/>
      <c r="EF37" s="26"/>
      <c r="EG37" s="26"/>
      <c r="EH37" s="26"/>
      <c r="EI37" s="26"/>
      <c r="EJ37" s="26"/>
      <c r="EK37" s="26"/>
      <c r="EL37" s="26"/>
      <c r="EM37" s="26"/>
      <c r="EN37" s="26"/>
      <c r="EO37" s="26"/>
      <c r="EP37" s="26"/>
      <c r="EQ37" s="26"/>
      <c r="ER37" s="26"/>
      <c r="ES37" s="26"/>
      <c r="ET37" s="26"/>
      <c r="EU37" s="26"/>
      <c r="EV37" s="26"/>
      <c r="EW37" s="26"/>
      <c r="EX37" s="26"/>
      <c r="EY37" s="26"/>
      <c r="EZ37" s="26"/>
      <c r="FA37" s="26"/>
      <c r="FB37" s="26"/>
      <c r="FC37" s="26"/>
      <c r="FD37" s="26"/>
      <c r="FE37" s="26"/>
      <c r="FF37" s="26"/>
      <c r="FG37" s="26"/>
      <c r="FH37" s="26"/>
      <c r="FI37" s="26"/>
      <c r="FJ37" s="26"/>
      <c r="FK37" s="26"/>
      <c r="FL37" s="26"/>
      <c r="FM37" s="26"/>
      <c r="FN37" s="26"/>
      <c r="FO37" s="26"/>
      <c r="FP37" s="26"/>
      <c r="FQ37" s="26"/>
      <c r="FR37" s="26"/>
      <c r="FS37" s="26"/>
      <c r="FT37" s="26"/>
      <c r="FU37" s="26"/>
      <c r="FV37" s="26"/>
      <c r="FW37" s="26"/>
      <c r="FX37" s="26"/>
      <c r="FY37" s="26"/>
      <c r="FZ37" s="26"/>
      <c r="GA37" s="26"/>
      <c r="GB37" s="26"/>
      <c r="GC37" s="26"/>
      <c r="GD37" s="26"/>
      <c r="GE37" s="26"/>
      <c r="GF37" s="26"/>
      <c r="GG37" s="26"/>
      <c r="GH37" s="26"/>
      <c r="GI37" s="26"/>
      <c r="GJ37" s="26"/>
      <c r="GK37" s="26"/>
      <c r="GL37" s="26"/>
      <c r="GM37" s="26"/>
      <c r="GN37" s="26"/>
      <c r="GO37" s="26"/>
      <c r="GP37" s="26"/>
      <c r="GQ37" s="26"/>
      <c r="GR37" s="26"/>
      <c r="GS37" s="26"/>
      <c r="GT37" s="26"/>
      <c r="GU37" s="26"/>
      <c r="GV37" s="26"/>
      <c r="GW37" s="26"/>
      <c r="GX37" s="26"/>
      <c r="GY37" s="26"/>
      <c r="GZ37" s="26"/>
      <c r="HA37" s="26"/>
      <c r="HB37" s="26"/>
      <c r="HC37" s="26"/>
      <c r="HD37" s="26"/>
      <c r="HE37" s="26"/>
      <c r="HF37" s="26"/>
      <c r="HG37" s="26"/>
      <c r="HH37" s="26"/>
      <c r="HI37" s="26"/>
      <c r="HJ37" s="26"/>
      <c r="HK37" s="26"/>
      <c r="HL37" s="26"/>
      <c r="HM37" s="26"/>
      <c r="HN37" s="26"/>
      <c r="HO37" s="26"/>
      <c r="HP37" s="26"/>
      <c r="HQ37" s="26"/>
      <c r="HR37" s="26"/>
      <c r="HS37" s="26"/>
      <c r="HT37" s="26"/>
      <c r="HU37" s="26"/>
      <c r="HV37" s="26"/>
      <c r="HW37" s="26"/>
      <c r="HX37" s="26"/>
      <c r="HY37" s="26"/>
      <c r="HZ37" s="26"/>
      <c r="IA37" s="26"/>
      <c r="IB37" s="26"/>
      <c r="IC37" s="26"/>
      <c r="ID37" s="26"/>
      <c r="IE37" s="26"/>
      <c r="IF37" s="26"/>
      <c r="IG37" s="26"/>
      <c r="IH37" s="26"/>
      <c r="II37" s="26"/>
      <c r="IJ37" s="26"/>
      <c r="IK37" s="26"/>
      <c r="IL37" s="26"/>
      <c r="IM37" s="26"/>
      <c r="IN37" s="26"/>
      <c r="IO37" s="26"/>
      <c r="IP37" s="26"/>
      <c r="IQ37" s="26"/>
      <c r="IR37" s="26"/>
      <c r="IS37" s="26"/>
      <c r="IT37" s="26"/>
      <c r="IU37" s="26"/>
      <c r="IV37"/>
    </row>
    <row r="38" spans="1:256" s="23" customFormat="1" ht="92.4">
      <c r="A38" s="66"/>
      <c r="B38" s="36"/>
      <c r="C38" s="36"/>
      <c r="D38" s="49" t="s">
        <v>277</v>
      </c>
      <c r="E38" s="48">
        <v>2</v>
      </c>
      <c r="F38" s="49" t="s">
        <v>403</v>
      </c>
      <c r="G38" s="145" t="s">
        <v>480</v>
      </c>
      <c r="H38" s="52" t="s">
        <v>428</v>
      </c>
      <c r="J38" s="28"/>
      <c r="K38" s="28"/>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c r="DS38" s="26"/>
      <c r="DT38" s="26"/>
      <c r="DU38" s="26"/>
      <c r="DV38" s="26"/>
      <c r="DW38" s="26"/>
      <c r="DX38" s="26"/>
      <c r="DY38" s="26"/>
      <c r="DZ38" s="26"/>
      <c r="EA38" s="26"/>
      <c r="EB38" s="26"/>
      <c r="EC38" s="26"/>
      <c r="ED38" s="26"/>
      <c r="EE38" s="26"/>
      <c r="EF38" s="26"/>
      <c r="EG38" s="26"/>
      <c r="EH38" s="26"/>
      <c r="EI38" s="26"/>
      <c r="EJ38" s="26"/>
      <c r="EK38" s="26"/>
      <c r="EL38" s="26"/>
      <c r="EM38" s="26"/>
      <c r="EN38" s="26"/>
      <c r="EO38" s="26"/>
      <c r="EP38" s="26"/>
      <c r="EQ38" s="26"/>
      <c r="ER38" s="26"/>
      <c r="ES38" s="26"/>
      <c r="ET38" s="26"/>
      <c r="EU38" s="26"/>
      <c r="EV38" s="26"/>
      <c r="EW38" s="26"/>
      <c r="EX38" s="26"/>
      <c r="EY38" s="26"/>
      <c r="EZ38" s="26"/>
      <c r="FA38" s="26"/>
      <c r="FB38" s="26"/>
      <c r="FC38" s="26"/>
      <c r="FD38" s="26"/>
      <c r="FE38" s="26"/>
      <c r="FF38" s="26"/>
      <c r="FG38" s="26"/>
      <c r="FH38" s="26"/>
      <c r="FI38" s="26"/>
      <c r="FJ38" s="26"/>
      <c r="FK38" s="26"/>
      <c r="FL38" s="26"/>
      <c r="FM38" s="26"/>
      <c r="FN38" s="26"/>
      <c r="FO38" s="26"/>
      <c r="FP38" s="26"/>
      <c r="FQ38" s="26"/>
      <c r="FR38" s="26"/>
      <c r="FS38" s="26"/>
      <c r="FT38" s="26"/>
      <c r="FU38" s="26"/>
      <c r="FV38" s="26"/>
      <c r="FW38" s="26"/>
      <c r="FX38" s="26"/>
      <c r="FY38" s="26"/>
      <c r="FZ38" s="26"/>
      <c r="GA38" s="26"/>
      <c r="GB38" s="26"/>
      <c r="GC38" s="26"/>
      <c r="GD38" s="26"/>
      <c r="GE38" s="26"/>
      <c r="GF38" s="26"/>
      <c r="GG38" s="26"/>
      <c r="GH38" s="26"/>
      <c r="GI38" s="26"/>
      <c r="GJ38" s="26"/>
      <c r="GK38" s="26"/>
      <c r="GL38" s="26"/>
      <c r="GM38" s="26"/>
      <c r="GN38" s="26"/>
      <c r="GO38" s="26"/>
      <c r="GP38" s="26"/>
      <c r="GQ38" s="26"/>
      <c r="GR38" s="26"/>
      <c r="GS38" s="26"/>
      <c r="GT38" s="26"/>
      <c r="GU38" s="26"/>
      <c r="GV38" s="26"/>
      <c r="GW38" s="26"/>
      <c r="GX38" s="26"/>
      <c r="GY38" s="26"/>
      <c r="GZ38" s="26"/>
      <c r="HA38" s="26"/>
      <c r="HB38" s="26"/>
      <c r="HC38" s="26"/>
      <c r="HD38" s="26"/>
      <c r="HE38" s="26"/>
      <c r="HF38" s="26"/>
      <c r="HG38" s="26"/>
      <c r="HH38" s="26"/>
      <c r="HI38" s="26"/>
      <c r="HJ38" s="26"/>
      <c r="HK38" s="26"/>
      <c r="HL38" s="26"/>
      <c r="HM38" s="26"/>
      <c r="HN38" s="26"/>
      <c r="HO38" s="26"/>
      <c r="HP38" s="26"/>
      <c r="HQ38" s="26"/>
      <c r="HR38" s="26"/>
      <c r="HS38" s="26"/>
      <c r="HT38" s="26"/>
      <c r="HU38" s="26"/>
      <c r="HV38" s="26"/>
      <c r="HW38" s="26"/>
      <c r="HX38" s="26"/>
      <c r="HY38" s="26"/>
      <c r="HZ38" s="26"/>
      <c r="IA38" s="26"/>
      <c r="IB38" s="26"/>
      <c r="IC38" s="26"/>
      <c r="ID38" s="26"/>
      <c r="IE38" s="26"/>
      <c r="IF38" s="26"/>
      <c r="IG38" s="26"/>
      <c r="IH38" s="26"/>
      <c r="II38" s="26"/>
      <c r="IJ38" s="26"/>
      <c r="IK38" s="26"/>
      <c r="IL38" s="26"/>
      <c r="IM38" s="26"/>
      <c r="IN38" s="26"/>
      <c r="IO38" s="26"/>
      <c r="IP38" s="26"/>
      <c r="IQ38" s="26"/>
      <c r="IR38" s="26"/>
      <c r="IS38" s="26"/>
      <c r="IT38" s="26"/>
      <c r="IU38" s="26"/>
      <c r="IV38"/>
    </row>
    <row r="39" spans="1:256" s="23" customFormat="1" ht="128.4" customHeight="1">
      <c r="A39" s="66"/>
      <c r="B39" s="36"/>
      <c r="C39" s="36" t="s">
        <v>278</v>
      </c>
      <c r="D39" s="49" t="s">
        <v>279</v>
      </c>
      <c r="E39" s="48">
        <v>2</v>
      </c>
      <c r="F39" s="49" t="s">
        <v>404</v>
      </c>
      <c r="G39" s="49"/>
      <c r="H39" s="52" t="s">
        <v>429</v>
      </c>
      <c r="J39" s="28"/>
      <c r="K39" s="28"/>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26"/>
      <c r="DR39" s="26"/>
      <c r="DS39" s="26"/>
      <c r="DT39" s="26"/>
      <c r="DU39" s="26"/>
      <c r="DV39" s="26"/>
      <c r="DW39" s="26"/>
      <c r="DX39" s="26"/>
      <c r="DY39" s="26"/>
      <c r="DZ39" s="26"/>
      <c r="EA39" s="26"/>
      <c r="EB39" s="26"/>
      <c r="EC39" s="26"/>
      <c r="ED39" s="26"/>
      <c r="EE39" s="26"/>
      <c r="EF39" s="26"/>
      <c r="EG39" s="26"/>
      <c r="EH39" s="26"/>
      <c r="EI39" s="26"/>
      <c r="EJ39" s="26"/>
      <c r="EK39" s="26"/>
      <c r="EL39" s="26"/>
      <c r="EM39" s="26"/>
      <c r="EN39" s="26"/>
      <c r="EO39" s="26"/>
      <c r="EP39" s="26"/>
      <c r="EQ39" s="26"/>
      <c r="ER39" s="26"/>
      <c r="ES39" s="26"/>
      <c r="ET39" s="26"/>
      <c r="EU39" s="26"/>
      <c r="EV39" s="26"/>
      <c r="EW39" s="26"/>
      <c r="EX39" s="26"/>
      <c r="EY39" s="26"/>
      <c r="EZ39" s="26"/>
      <c r="FA39" s="26"/>
      <c r="FB39" s="26"/>
      <c r="FC39" s="26"/>
      <c r="FD39" s="26"/>
      <c r="FE39" s="26"/>
      <c r="FF39" s="26"/>
      <c r="FG39" s="26"/>
      <c r="FH39" s="26"/>
      <c r="FI39" s="26"/>
      <c r="FJ39" s="26"/>
      <c r="FK39" s="26"/>
      <c r="FL39" s="26"/>
      <c r="FM39" s="26"/>
      <c r="FN39" s="26"/>
      <c r="FO39" s="26"/>
      <c r="FP39" s="26"/>
      <c r="FQ39" s="26"/>
      <c r="FR39" s="26"/>
      <c r="FS39" s="26"/>
      <c r="FT39" s="26"/>
      <c r="FU39" s="26"/>
      <c r="FV39" s="26"/>
      <c r="FW39" s="26"/>
      <c r="FX39" s="26"/>
      <c r="FY39" s="26"/>
      <c r="FZ39" s="26"/>
      <c r="GA39" s="26"/>
      <c r="GB39" s="26"/>
      <c r="GC39" s="26"/>
      <c r="GD39" s="26"/>
      <c r="GE39" s="26"/>
      <c r="GF39" s="26"/>
      <c r="GG39" s="26"/>
      <c r="GH39" s="26"/>
      <c r="GI39" s="26"/>
      <c r="GJ39" s="26"/>
      <c r="GK39" s="26"/>
      <c r="GL39" s="26"/>
      <c r="GM39" s="26"/>
      <c r="GN39" s="26"/>
      <c r="GO39" s="26"/>
      <c r="GP39" s="26"/>
      <c r="GQ39" s="26"/>
      <c r="GR39" s="26"/>
      <c r="GS39" s="26"/>
      <c r="GT39" s="26"/>
      <c r="GU39" s="26"/>
      <c r="GV39" s="26"/>
      <c r="GW39" s="26"/>
      <c r="GX39" s="26"/>
      <c r="GY39" s="26"/>
      <c r="GZ39" s="26"/>
      <c r="HA39" s="26"/>
      <c r="HB39" s="26"/>
      <c r="HC39" s="26"/>
      <c r="HD39" s="26"/>
      <c r="HE39" s="26"/>
      <c r="HF39" s="26"/>
      <c r="HG39" s="26"/>
      <c r="HH39" s="26"/>
      <c r="HI39" s="26"/>
      <c r="HJ39" s="26"/>
      <c r="HK39" s="26"/>
      <c r="HL39" s="26"/>
      <c r="HM39" s="26"/>
      <c r="HN39" s="26"/>
      <c r="HO39" s="26"/>
      <c r="HP39" s="26"/>
      <c r="HQ39" s="26"/>
      <c r="HR39" s="26"/>
      <c r="HS39" s="26"/>
      <c r="HT39" s="26"/>
      <c r="HU39" s="26"/>
      <c r="HV39" s="26"/>
      <c r="HW39" s="26"/>
      <c r="HX39" s="26"/>
      <c r="HY39" s="26"/>
      <c r="HZ39" s="26"/>
      <c r="IA39" s="26"/>
      <c r="IB39" s="26"/>
      <c r="IC39" s="26"/>
      <c r="ID39" s="26"/>
      <c r="IE39" s="26"/>
      <c r="IF39" s="26"/>
      <c r="IG39" s="26"/>
      <c r="IH39" s="26"/>
      <c r="II39" s="26"/>
      <c r="IJ39" s="26"/>
      <c r="IK39" s="26"/>
      <c r="IL39" s="26"/>
      <c r="IM39" s="26"/>
      <c r="IN39" s="26"/>
      <c r="IO39" s="26"/>
      <c r="IP39" s="26"/>
      <c r="IQ39" s="26"/>
      <c r="IR39" s="26"/>
      <c r="IS39" s="26"/>
      <c r="IT39" s="26"/>
      <c r="IU39" s="26"/>
      <c r="IV39"/>
    </row>
    <row r="40" spans="1:256" s="23" customFormat="1" ht="93.6" customHeight="1">
      <c r="A40" s="66"/>
      <c r="B40" s="36"/>
      <c r="C40" s="36"/>
      <c r="D40" s="49" t="s">
        <v>280</v>
      </c>
      <c r="E40" s="48">
        <v>3</v>
      </c>
      <c r="F40" s="49" t="s">
        <v>505</v>
      </c>
      <c r="G40" s="49"/>
      <c r="H40" s="52" t="s">
        <v>429</v>
      </c>
      <c r="J40" s="28"/>
      <c r="K40" s="28"/>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26"/>
      <c r="DR40" s="26"/>
      <c r="DS40" s="26"/>
      <c r="DT40" s="26"/>
      <c r="DU40" s="26"/>
      <c r="DV40" s="26"/>
      <c r="DW40" s="26"/>
      <c r="DX40" s="26"/>
      <c r="DY40" s="26"/>
      <c r="DZ40" s="26"/>
      <c r="EA40" s="26"/>
      <c r="EB40" s="26"/>
      <c r="EC40" s="26"/>
      <c r="ED40" s="26"/>
      <c r="EE40" s="26"/>
      <c r="EF40" s="26"/>
      <c r="EG40" s="26"/>
      <c r="EH40" s="26"/>
      <c r="EI40" s="26"/>
      <c r="EJ40" s="26"/>
      <c r="EK40" s="26"/>
      <c r="EL40" s="26"/>
      <c r="EM40" s="26"/>
      <c r="EN40" s="26"/>
      <c r="EO40" s="26"/>
      <c r="EP40" s="26"/>
      <c r="EQ40" s="26"/>
      <c r="ER40" s="26"/>
      <c r="ES40" s="26"/>
      <c r="ET40" s="26"/>
      <c r="EU40" s="26"/>
      <c r="EV40" s="26"/>
      <c r="EW40" s="26"/>
      <c r="EX40" s="26"/>
      <c r="EY40" s="26"/>
      <c r="EZ40" s="26"/>
      <c r="FA40" s="26"/>
      <c r="FB40" s="26"/>
      <c r="FC40" s="26"/>
      <c r="FD40" s="26"/>
      <c r="FE40" s="26"/>
      <c r="FF40" s="26"/>
      <c r="FG40" s="26"/>
      <c r="FH40" s="26"/>
      <c r="FI40" s="26"/>
      <c r="FJ40" s="26"/>
      <c r="FK40" s="26"/>
      <c r="FL40" s="26"/>
      <c r="FM40" s="26"/>
      <c r="FN40" s="26"/>
      <c r="FO40" s="26"/>
      <c r="FP40" s="26"/>
      <c r="FQ40" s="26"/>
      <c r="FR40" s="26"/>
      <c r="FS40" s="26"/>
      <c r="FT40" s="26"/>
      <c r="FU40" s="26"/>
      <c r="FV40" s="26"/>
      <c r="FW40" s="26"/>
      <c r="FX40" s="26"/>
      <c r="FY40" s="26"/>
      <c r="FZ40" s="26"/>
      <c r="GA40" s="26"/>
      <c r="GB40" s="26"/>
      <c r="GC40" s="26"/>
      <c r="GD40" s="26"/>
      <c r="GE40" s="26"/>
      <c r="GF40" s="26"/>
      <c r="GG40" s="26"/>
      <c r="GH40" s="26"/>
      <c r="GI40" s="26"/>
      <c r="GJ40" s="26"/>
      <c r="GK40" s="26"/>
      <c r="GL40" s="26"/>
      <c r="GM40" s="26"/>
      <c r="GN40" s="26"/>
      <c r="GO40" s="26"/>
      <c r="GP40" s="26"/>
      <c r="GQ40" s="26"/>
      <c r="GR40" s="26"/>
      <c r="GS40" s="26"/>
      <c r="GT40" s="26"/>
      <c r="GU40" s="26"/>
      <c r="GV40" s="26"/>
      <c r="GW40" s="26"/>
      <c r="GX40" s="26"/>
      <c r="GY40" s="26"/>
      <c r="GZ40" s="26"/>
      <c r="HA40" s="26"/>
      <c r="HB40" s="26"/>
      <c r="HC40" s="26"/>
      <c r="HD40" s="26"/>
      <c r="HE40" s="26"/>
      <c r="HF40" s="26"/>
      <c r="HG40" s="26"/>
      <c r="HH40" s="26"/>
      <c r="HI40" s="26"/>
      <c r="HJ40" s="26"/>
      <c r="HK40" s="26"/>
      <c r="HL40" s="26"/>
      <c r="HM40" s="26"/>
      <c r="HN40" s="26"/>
      <c r="HO40" s="26"/>
      <c r="HP40" s="26"/>
      <c r="HQ40" s="26"/>
      <c r="HR40" s="26"/>
      <c r="HS40" s="26"/>
      <c r="HT40" s="26"/>
      <c r="HU40" s="26"/>
      <c r="HV40" s="26"/>
      <c r="HW40" s="26"/>
      <c r="HX40" s="26"/>
      <c r="HY40" s="26"/>
      <c r="HZ40" s="26"/>
      <c r="IA40" s="26"/>
      <c r="IB40" s="26"/>
      <c r="IC40" s="26"/>
      <c r="ID40" s="26"/>
      <c r="IE40" s="26"/>
      <c r="IF40" s="26"/>
      <c r="IG40" s="26"/>
      <c r="IH40" s="26"/>
      <c r="II40" s="26"/>
      <c r="IJ40" s="26"/>
      <c r="IK40" s="26"/>
      <c r="IL40" s="26"/>
      <c r="IM40" s="26"/>
      <c r="IN40" s="26"/>
      <c r="IO40" s="26"/>
      <c r="IP40" s="26"/>
      <c r="IQ40" s="26"/>
      <c r="IR40" s="26"/>
      <c r="IS40" s="26"/>
      <c r="IT40" s="26"/>
      <c r="IU40" s="26"/>
      <c r="IV40"/>
    </row>
    <row r="41" spans="1:256" s="23" customFormat="1" ht="93.6" customHeight="1">
      <c r="A41" s="66"/>
      <c r="B41" s="36"/>
      <c r="C41" s="36"/>
      <c r="D41" s="49" t="s">
        <v>281</v>
      </c>
      <c r="E41" s="48">
        <v>2</v>
      </c>
      <c r="F41" s="49" t="s">
        <v>405</v>
      </c>
      <c r="G41" s="49"/>
      <c r="H41" s="52" t="s">
        <v>429</v>
      </c>
      <c r="J41" s="28"/>
      <c r="K41" s="28"/>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26"/>
      <c r="DY41" s="26"/>
      <c r="DZ41" s="26"/>
      <c r="EA41" s="26"/>
      <c r="EB41" s="26"/>
      <c r="EC41" s="26"/>
      <c r="ED41" s="26"/>
      <c r="EE41" s="26"/>
      <c r="EF41" s="26"/>
      <c r="EG41" s="26"/>
      <c r="EH41" s="26"/>
      <c r="EI41" s="26"/>
      <c r="EJ41" s="26"/>
      <c r="EK41" s="26"/>
      <c r="EL41" s="26"/>
      <c r="EM41" s="26"/>
      <c r="EN41" s="26"/>
      <c r="EO41" s="26"/>
      <c r="EP41" s="26"/>
      <c r="EQ41" s="26"/>
      <c r="ER41" s="26"/>
      <c r="ES41" s="26"/>
      <c r="ET41" s="26"/>
      <c r="EU41" s="26"/>
      <c r="EV41" s="26"/>
      <c r="EW41" s="26"/>
      <c r="EX41" s="26"/>
      <c r="EY41" s="26"/>
      <c r="EZ41" s="26"/>
      <c r="FA41" s="26"/>
      <c r="FB41" s="26"/>
      <c r="FC41" s="26"/>
      <c r="FD41" s="26"/>
      <c r="FE41" s="26"/>
      <c r="FF41" s="26"/>
      <c r="FG41" s="26"/>
      <c r="FH41" s="26"/>
      <c r="FI41" s="26"/>
      <c r="FJ41" s="26"/>
      <c r="FK41" s="26"/>
      <c r="FL41" s="26"/>
      <c r="FM41" s="26"/>
      <c r="FN41" s="26"/>
      <c r="FO41" s="26"/>
      <c r="FP41" s="26"/>
      <c r="FQ41" s="26"/>
      <c r="FR41" s="26"/>
      <c r="FS41" s="26"/>
      <c r="FT41" s="26"/>
      <c r="FU41" s="26"/>
      <c r="FV41" s="26"/>
      <c r="FW41" s="26"/>
      <c r="FX41" s="26"/>
      <c r="FY41" s="26"/>
      <c r="FZ41" s="26"/>
      <c r="GA41" s="26"/>
      <c r="GB41" s="26"/>
      <c r="GC41" s="26"/>
      <c r="GD41" s="26"/>
      <c r="GE41" s="26"/>
      <c r="GF41" s="26"/>
      <c r="GG41" s="26"/>
      <c r="GH41" s="26"/>
      <c r="GI41" s="26"/>
      <c r="GJ41" s="26"/>
      <c r="GK41" s="26"/>
      <c r="GL41" s="26"/>
      <c r="GM41" s="26"/>
      <c r="GN41" s="26"/>
      <c r="GO41" s="26"/>
      <c r="GP41" s="26"/>
      <c r="GQ41" s="26"/>
      <c r="GR41" s="26"/>
      <c r="GS41" s="26"/>
      <c r="GT41" s="26"/>
      <c r="GU41" s="26"/>
      <c r="GV41" s="26"/>
      <c r="GW41" s="26"/>
      <c r="GX41" s="26"/>
      <c r="GY41" s="26"/>
      <c r="GZ41" s="26"/>
      <c r="HA41" s="26"/>
      <c r="HB41" s="26"/>
      <c r="HC41" s="26"/>
      <c r="HD41" s="26"/>
      <c r="HE41" s="26"/>
      <c r="HF41" s="26"/>
      <c r="HG41" s="26"/>
      <c r="HH41" s="26"/>
      <c r="HI41" s="26"/>
      <c r="HJ41" s="26"/>
      <c r="HK41" s="26"/>
      <c r="HL41" s="26"/>
      <c r="HM41" s="26"/>
      <c r="HN41" s="26"/>
      <c r="HO41" s="26"/>
      <c r="HP41" s="26"/>
      <c r="HQ41" s="26"/>
      <c r="HR41" s="26"/>
      <c r="HS41" s="26"/>
      <c r="HT41" s="26"/>
      <c r="HU41" s="26"/>
      <c r="HV41" s="26"/>
      <c r="HW41" s="26"/>
      <c r="HX41" s="26"/>
      <c r="HY41" s="26"/>
      <c r="HZ41" s="26"/>
      <c r="IA41" s="26"/>
      <c r="IB41" s="26"/>
      <c r="IC41" s="26"/>
      <c r="ID41" s="26"/>
      <c r="IE41" s="26"/>
      <c r="IF41" s="26"/>
      <c r="IG41" s="26"/>
      <c r="IH41" s="26"/>
      <c r="II41" s="26"/>
      <c r="IJ41" s="26"/>
      <c r="IK41" s="26"/>
      <c r="IL41" s="26"/>
      <c r="IM41" s="26"/>
      <c r="IN41" s="26"/>
      <c r="IO41" s="26"/>
      <c r="IP41" s="26"/>
      <c r="IQ41" s="26"/>
      <c r="IR41" s="26"/>
      <c r="IS41" s="26"/>
      <c r="IT41" s="26"/>
      <c r="IU41" s="26"/>
      <c r="IV41"/>
    </row>
    <row r="42" spans="1:256" s="23" customFormat="1" ht="224.4">
      <c r="A42" s="66"/>
      <c r="B42" s="36"/>
      <c r="C42" s="36"/>
      <c r="D42" s="49" t="s">
        <v>282</v>
      </c>
      <c r="E42" s="48">
        <v>2</v>
      </c>
      <c r="F42" s="49"/>
      <c r="G42" s="49" t="s">
        <v>506</v>
      </c>
      <c r="H42" s="52" t="s">
        <v>429</v>
      </c>
      <c r="J42" s="28"/>
      <c r="K42" s="28"/>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6"/>
      <c r="FI42" s="26"/>
      <c r="FJ42" s="26"/>
      <c r="FK42" s="26"/>
      <c r="FL42" s="26"/>
      <c r="FM42" s="26"/>
      <c r="FN42" s="26"/>
      <c r="FO42" s="26"/>
      <c r="FP42" s="26"/>
      <c r="FQ42" s="26"/>
      <c r="FR42" s="26"/>
      <c r="FS42" s="26"/>
      <c r="FT42" s="26"/>
      <c r="FU42" s="26"/>
      <c r="FV42" s="26"/>
      <c r="FW42" s="26"/>
      <c r="FX42" s="26"/>
      <c r="FY42" s="26"/>
      <c r="FZ42" s="26"/>
      <c r="GA42" s="26"/>
      <c r="GB42" s="26"/>
      <c r="GC42" s="26"/>
      <c r="GD42" s="26"/>
      <c r="GE42" s="26"/>
      <c r="GF42" s="26"/>
      <c r="GG42" s="26"/>
      <c r="GH42" s="26"/>
      <c r="GI42" s="26"/>
      <c r="GJ42" s="26"/>
      <c r="GK42" s="26"/>
      <c r="GL42" s="26"/>
      <c r="GM42" s="26"/>
      <c r="GN42" s="26"/>
      <c r="GO42" s="26"/>
      <c r="GP42" s="26"/>
      <c r="GQ42" s="26"/>
      <c r="GR42" s="26"/>
      <c r="GS42" s="26"/>
      <c r="GT42" s="26"/>
      <c r="GU42" s="26"/>
      <c r="GV42" s="26"/>
      <c r="GW42" s="26"/>
      <c r="GX42" s="26"/>
      <c r="GY42" s="26"/>
      <c r="GZ42" s="26"/>
      <c r="HA42" s="26"/>
      <c r="HB42" s="26"/>
      <c r="HC42" s="26"/>
      <c r="HD42" s="26"/>
      <c r="HE42" s="26"/>
      <c r="HF42" s="26"/>
      <c r="HG42" s="26"/>
      <c r="HH42" s="26"/>
      <c r="HI42" s="26"/>
      <c r="HJ42" s="26"/>
      <c r="HK42" s="26"/>
      <c r="HL42" s="26"/>
      <c r="HM42" s="26"/>
      <c r="HN42" s="26"/>
      <c r="HO42" s="26"/>
      <c r="HP42" s="26"/>
      <c r="HQ42" s="26"/>
      <c r="HR42" s="26"/>
      <c r="HS42" s="26"/>
      <c r="HT42" s="26"/>
      <c r="HU42" s="26"/>
      <c r="HV42" s="26"/>
      <c r="HW42" s="26"/>
      <c r="HX42" s="26"/>
      <c r="HY42" s="26"/>
      <c r="HZ42" s="26"/>
      <c r="IA42" s="26"/>
      <c r="IB42" s="26"/>
      <c r="IC42" s="26"/>
      <c r="ID42" s="26"/>
      <c r="IE42" s="26"/>
      <c r="IF42" s="26"/>
      <c r="IG42" s="26"/>
      <c r="IH42" s="26"/>
      <c r="II42" s="26"/>
      <c r="IJ42" s="26"/>
      <c r="IK42" s="26"/>
      <c r="IL42" s="26"/>
      <c r="IM42" s="26"/>
      <c r="IN42" s="26"/>
      <c r="IO42" s="26"/>
      <c r="IP42" s="26"/>
      <c r="IQ42" s="26"/>
      <c r="IR42" s="26"/>
      <c r="IS42" s="26"/>
      <c r="IT42" s="26"/>
      <c r="IU42" s="26"/>
      <c r="IV42"/>
    </row>
    <row r="43" spans="1:256" s="23" customFormat="1" ht="66" customHeight="1">
      <c r="A43" s="66"/>
      <c r="B43" s="36"/>
      <c r="C43" s="36"/>
      <c r="D43" s="49" t="s">
        <v>283</v>
      </c>
      <c r="E43" s="48">
        <v>1</v>
      </c>
      <c r="F43" s="145" t="s">
        <v>481</v>
      </c>
      <c r="G43" s="145" t="s">
        <v>482</v>
      </c>
      <c r="H43" s="52" t="s">
        <v>429</v>
      </c>
      <c r="J43" s="28"/>
      <c r="K43" s="28"/>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26"/>
      <c r="FB43" s="26"/>
      <c r="FC43" s="26"/>
      <c r="FD43" s="26"/>
      <c r="FE43" s="26"/>
      <c r="FF43" s="26"/>
      <c r="FG43" s="26"/>
      <c r="FH43" s="26"/>
      <c r="FI43" s="26"/>
      <c r="FJ43" s="26"/>
      <c r="FK43" s="26"/>
      <c r="FL43" s="26"/>
      <c r="FM43" s="26"/>
      <c r="FN43" s="26"/>
      <c r="FO43" s="26"/>
      <c r="FP43" s="26"/>
      <c r="FQ43" s="26"/>
      <c r="FR43" s="26"/>
      <c r="FS43" s="26"/>
      <c r="FT43" s="26"/>
      <c r="FU43" s="26"/>
      <c r="FV43" s="26"/>
      <c r="FW43" s="26"/>
      <c r="FX43" s="26"/>
      <c r="FY43" s="26"/>
      <c r="FZ43" s="26"/>
      <c r="GA43" s="26"/>
      <c r="GB43" s="26"/>
      <c r="GC43" s="26"/>
      <c r="GD43" s="26"/>
      <c r="GE43" s="26"/>
      <c r="GF43" s="26"/>
      <c r="GG43" s="26"/>
      <c r="GH43" s="26"/>
      <c r="GI43" s="26"/>
      <c r="GJ43" s="26"/>
      <c r="GK43" s="26"/>
      <c r="GL43" s="26"/>
      <c r="GM43" s="26"/>
      <c r="GN43" s="26"/>
      <c r="GO43" s="26"/>
      <c r="GP43" s="26"/>
      <c r="GQ43" s="26"/>
      <c r="GR43" s="26"/>
      <c r="GS43" s="26"/>
      <c r="GT43" s="26"/>
      <c r="GU43" s="26"/>
      <c r="GV43" s="26"/>
      <c r="GW43" s="26"/>
      <c r="GX43" s="26"/>
      <c r="GY43" s="26"/>
      <c r="GZ43" s="26"/>
      <c r="HA43" s="26"/>
      <c r="HB43" s="26"/>
      <c r="HC43" s="26"/>
      <c r="HD43" s="26"/>
      <c r="HE43" s="26"/>
      <c r="HF43" s="26"/>
      <c r="HG43" s="26"/>
      <c r="HH43" s="26"/>
      <c r="HI43" s="26"/>
      <c r="HJ43" s="26"/>
      <c r="HK43" s="26"/>
      <c r="HL43" s="26"/>
      <c r="HM43" s="26"/>
      <c r="HN43" s="26"/>
      <c r="HO43" s="26"/>
      <c r="HP43" s="26"/>
      <c r="HQ43" s="26"/>
      <c r="HR43" s="26"/>
      <c r="HS43" s="26"/>
      <c r="HT43" s="26"/>
      <c r="HU43" s="26"/>
      <c r="HV43" s="26"/>
      <c r="HW43" s="26"/>
      <c r="HX43" s="26"/>
      <c r="HY43" s="26"/>
      <c r="HZ43" s="26"/>
      <c r="IA43" s="26"/>
      <c r="IB43" s="26"/>
      <c r="IC43" s="26"/>
      <c r="ID43" s="26"/>
      <c r="IE43" s="26"/>
      <c r="IF43" s="26"/>
      <c r="IG43" s="26"/>
      <c r="IH43" s="26"/>
      <c r="II43" s="26"/>
      <c r="IJ43" s="26"/>
      <c r="IK43" s="26"/>
      <c r="IL43" s="26"/>
      <c r="IM43" s="26"/>
      <c r="IN43" s="26"/>
      <c r="IO43" s="26"/>
      <c r="IP43" s="26"/>
      <c r="IQ43" s="26"/>
      <c r="IR43" s="26"/>
      <c r="IS43" s="26"/>
      <c r="IT43" s="26"/>
      <c r="IU43" s="26"/>
      <c r="IV43"/>
    </row>
    <row r="44" spans="1:256" s="23" customFormat="1" ht="224.4">
      <c r="A44" s="66"/>
      <c r="B44" s="36"/>
      <c r="C44" s="36"/>
      <c r="D44" s="49" t="s">
        <v>284</v>
      </c>
      <c r="E44" s="48">
        <v>2</v>
      </c>
      <c r="F44" s="49" t="s">
        <v>405</v>
      </c>
      <c r="G44" s="49" t="s">
        <v>489</v>
      </c>
      <c r="H44" s="52" t="s">
        <v>429</v>
      </c>
      <c r="J44" s="28"/>
      <c r="K44" s="28"/>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26"/>
      <c r="EX44" s="26"/>
      <c r="EY44" s="26"/>
      <c r="EZ44" s="26"/>
      <c r="FA44" s="26"/>
      <c r="FB44" s="26"/>
      <c r="FC44" s="26"/>
      <c r="FD44" s="26"/>
      <c r="FE44" s="26"/>
      <c r="FF44" s="26"/>
      <c r="FG44" s="26"/>
      <c r="FH44" s="26"/>
      <c r="FI44" s="26"/>
      <c r="FJ44" s="26"/>
      <c r="FK44" s="26"/>
      <c r="FL44" s="26"/>
      <c r="FM44" s="26"/>
      <c r="FN44" s="26"/>
      <c r="FO44" s="26"/>
      <c r="FP44" s="26"/>
      <c r="FQ44" s="26"/>
      <c r="FR44" s="26"/>
      <c r="FS44" s="26"/>
      <c r="FT44" s="26"/>
      <c r="FU44" s="26"/>
      <c r="FV44" s="26"/>
      <c r="FW44" s="26"/>
      <c r="FX44" s="26"/>
      <c r="FY44" s="26"/>
      <c r="FZ44" s="26"/>
      <c r="GA44" s="26"/>
      <c r="GB44" s="26"/>
      <c r="GC44" s="26"/>
      <c r="GD44" s="26"/>
      <c r="GE44" s="26"/>
      <c r="GF44" s="26"/>
      <c r="GG44" s="26"/>
      <c r="GH44" s="26"/>
      <c r="GI44" s="26"/>
      <c r="GJ44" s="26"/>
      <c r="GK44" s="26"/>
      <c r="GL44" s="26"/>
      <c r="GM44" s="26"/>
      <c r="GN44" s="26"/>
      <c r="GO44" s="26"/>
      <c r="GP44" s="26"/>
      <c r="GQ44" s="26"/>
      <c r="GR44" s="26"/>
      <c r="GS44" s="26"/>
      <c r="GT44" s="26"/>
      <c r="GU44" s="26"/>
      <c r="GV44" s="26"/>
      <c r="GW44" s="26"/>
      <c r="GX44" s="26"/>
      <c r="GY44" s="26"/>
      <c r="GZ44" s="26"/>
      <c r="HA44" s="26"/>
      <c r="HB44" s="26"/>
      <c r="HC44" s="26"/>
      <c r="HD44" s="26"/>
      <c r="HE44" s="26"/>
      <c r="HF44" s="26"/>
      <c r="HG44" s="26"/>
      <c r="HH44" s="26"/>
      <c r="HI44" s="26"/>
      <c r="HJ44" s="26"/>
      <c r="HK44" s="26"/>
      <c r="HL44" s="26"/>
      <c r="HM44" s="26"/>
      <c r="HN44" s="26"/>
      <c r="HO44" s="26"/>
      <c r="HP44" s="26"/>
      <c r="HQ44" s="26"/>
      <c r="HR44" s="26"/>
      <c r="HS44" s="26"/>
      <c r="HT44" s="26"/>
      <c r="HU44" s="26"/>
      <c r="HV44" s="26"/>
      <c r="HW44" s="26"/>
      <c r="HX44" s="26"/>
      <c r="HY44" s="26"/>
      <c r="HZ44" s="26"/>
      <c r="IA44" s="26"/>
      <c r="IB44" s="26"/>
      <c r="IC44" s="26"/>
      <c r="ID44" s="26"/>
      <c r="IE44" s="26"/>
      <c r="IF44" s="26"/>
      <c r="IG44" s="26"/>
      <c r="IH44" s="26"/>
      <c r="II44" s="26"/>
      <c r="IJ44" s="26"/>
      <c r="IK44" s="26"/>
      <c r="IL44" s="26"/>
      <c r="IM44" s="26"/>
      <c r="IN44" s="26"/>
      <c r="IO44" s="26"/>
      <c r="IP44" s="26"/>
      <c r="IQ44" s="26"/>
      <c r="IR44" s="26"/>
      <c r="IS44" s="26"/>
      <c r="IT44" s="26"/>
      <c r="IU44" s="26"/>
      <c r="IV44"/>
    </row>
    <row r="45" spans="1:256" s="23" customFormat="1" ht="132">
      <c r="A45" s="66"/>
      <c r="B45" s="36"/>
      <c r="C45" s="36"/>
      <c r="D45" s="49" t="s">
        <v>285</v>
      </c>
      <c r="E45" s="48">
        <v>2</v>
      </c>
      <c r="F45" s="49" t="s">
        <v>507</v>
      </c>
      <c r="G45" s="49"/>
      <c r="H45" s="52" t="s">
        <v>429</v>
      </c>
      <c r="J45" s="28"/>
      <c r="K45" s="28"/>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c r="DD45" s="26"/>
      <c r="DE45" s="26"/>
      <c r="DF45" s="26"/>
      <c r="DG45" s="26"/>
      <c r="DH45" s="26"/>
      <c r="DI45" s="26"/>
      <c r="DJ45" s="26"/>
      <c r="DK45" s="26"/>
      <c r="DL45" s="26"/>
      <c r="DM45" s="26"/>
      <c r="DN45" s="26"/>
      <c r="DO45" s="26"/>
      <c r="DP45" s="26"/>
      <c r="DQ45" s="26"/>
      <c r="DR45" s="26"/>
      <c r="DS45" s="26"/>
      <c r="DT45" s="26"/>
      <c r="DU45" s="26"/>
      <c r="DV45" s="26"/>
      <c r="DW45" s="26"/>
      <c r="DX45" s="26"/>
      <c r="DY45" s="26"/>
      <c r="DZ45" s="26"/>
      <c r="EA45" s="26"/>
      <c r="EB45" s="26"/>
      <c r="EC45" s="26"/>
      <c r="ED45" s="26"/>
      <c r="EE45" s="26"/>
      <c r="EF45" s="26"/>
      <c r="EG45" s="26"/>
      <c r="EH45" s="26"/>
      <c r="EI45" s="26"/>
      <c r="EJ45" s="26"/>
      <c r="EK45" s="26"/>
      <c r="EL45" s="26"/>
      <c r="EM45" s="26"/>
      <c r="EN45" s="26"/>
      <c r="EO45" s="26"/>
      <c r="EP45" s="26"/>
      <c r="EQ45" s="26"/>
      <c r="ER45" s="26"/>
      <c r="ES45" s="26"/>
      <c r="ET45" s="26"/>
      <c r="EU45" s="26"/>
      <c r="EV45" s="26"/>
      <c r="EW45" s="26"/>
      <c r="EX45" s="26"/>
      <c r="EY45" s="26"/>
      <c r="EZ45" s="26"/>
      <c r="FA45" s="26"/>
      <c r="FB45" s="26"/>
      <c r="FC45" s="26"/>
      <c r="FD45" s="26"/>
      <c r="FE45" s="26"/>
      <c r="FF45" s="26"/>
      <c r="FG45" s="26"/>
      <c r="FH45" s="26"/>
      <c r="FI45" s="26"/>
      <c r="FJ45" s="26"/>
      <c r="FK45" s="26"/>
      <c r="FL45" s="26"/>
      <c r="FM45" s="26"/>
      <c r="FN45" s="26"/>
      <c r="FO45" s="26"/>
      <c r="FP45" s="26"/>
      <c r="FQ45" s="26"/>
      <c r="FR45" s="26"/>
      <c r="FS45" s="26"/>
      <c r="FT45" s="26"/>
      <c r="FU45" s="26"/>
      <c r="FV45" s="26"/>
      <c r="FW45" s="26"/>
      <c r="FX45" s="26"/>
      <c r="FY45" s="26"/>
      <c r="FZ45" s="26"/>
      <c r="GA45" s="26"/>
      <c r="GB45" s="26"/>
      <c r="GC45" s="26"/>
      <c r="GD45" s="26"/>
      <c r="GE45" s="26"/>
      <c r="GF45" s="26"/>
      <c r="GG45" s="26"/>
      <c r="GH45" s="26"/>
      <c r="GI45" s="26"/>
      <c r="GJ45" s="26"/>
      <c r="GK45" s="26"/>
      <c r="GL45" s="26"/>
      <c r="GM45" s="26"/>
      <c r="GN45" s="26"/>
      <c r="GO45" s="26"/>
      <c r="GP45" s="26"/>
      <c r="GQ45" s="26"/>
      <c r="GR45" s="26"/>
      <c r="GS45" s="26"/>
      <c r="GT45" s="26"/>
      <c r="GU45" s="26"/>
      <c r="GV45" s="26"/>
      <c r="GW45" s="26"/>
      <c r="GX45" s="26"/>
      <c r="GY45" s="26"/>
      <c r="GZ45" s="26"/>
      <c r="HA45" s="26"/>
      <c r="HB45" s="26"/>
      <c r="HC45" s="26"/>
      <c r="HD45" s="26"/>
      <c r="HE45" s="26"/>
      <c r="HF45" s="26"/>
      <c r="HG45" s="26"/>
      <c r="HH45" s="26"/>
      <c r="HI45" s="26"/>
      <c r="HJ45" s="26"/>
      <c r="HK45" s="26"/>
      <c r="HL45" s="26"/>
      <c r="HM45" s="26"/>
      <c r="HN45" s="26"/>
      <c r="HO45" s="26"/>
      <c r="HP45" s="26"/>
      <c r="HQ45" s="26"/>
      <c r="HR45" s="26"/>
      <c r="HS45" s="26"/>
      <c r="HT45" s="26"/>
      <c r="HU45" s="26"/>
      <c r="HV45" s="26"/>
      <c r="HW45" s="26"/>
      <c r="HX45" s="26"/>
      <c r="HY45" s="26"/>
      <c r="HZ45" s="26"/>
      <c r="IA45" s="26"/>
      <c r="IB45" s="26"/>
      <c r="IC45" s="26"/>
      <c r="ID45" s="26"/>
      <c r="IE45" s="26"/>
      <c r="IF45" s="26"/>
      <c r="IG45" s="26"/>
      <c r="IH45" s="26"/>
      <c r="II45" s="26"/>
      <c r="IJ45" s="26"/>
      <c r="IK45" s="26"/>
      <c r="IL45" s="26"/>
      <c r="IM45" s="26"/>
      <c r="IN45" s="26"/>
      <c r="IO45" s="26"/>
      <c r="IP45" s="26"/>
      <c r="IQ45" s="26"/>
      <c r="IR45" s="26"/>
      <c r="IS45" s="26"/>
      <c r="IT45" s="26"/>
      <c r="IU45" s="26"/>
      <c r="IV45"/>
    </row>
    <row r="46" spans="1:256" s="23" customFormat="1" ht="184.5" customHeight="1">
      <c r="A46" s="66"/>
      <c r="B46" s="36"/>
      <c r="C46" s="36" t="s">
        <v>286</v>
      </c>
      <c r="D46" s="49" t="s">
        <v>287</v>
      </c>
      <c r="E46" s="48">
        <v>2</v>
      </c>
      <c r="F46" s="139" t="s">
        <v>430</v>
      </c>
      <c r="G46" s="49"/>
      <c r="H46" s="52" t="s">
        <v>432</v>
      </c>
      <c r="J46" s="28"/>
      <c r="K46" s="28"/>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26"/>
      <c r="EL46" s="26"/>
      <c r="EM46" s="26"/>
      <c r="EN46" s="26"/>
      <c r="EO46" s="26"/>
      <c r="EP46" s="26"/>
      <c r="EQ46" s="26"/>
      <c r="ER46" s="26"/>
      <c r="ES46" s="26"/>
      <c r="ET46" s="26"/>
      <c r="EU46" s="26"/>
      <c r="EV46" s="26"/>
      <c r="EW46" s="26"/>
      <c r="EX46" s="26"/>
      <c r="EY46" s="26"/>
      <c r="EZ46" s="26"/>
      <c r="FA46" s="26"/>
      <c r="FB46" s="26"/>
      <c r="FC46" s="26"/>
      <c r="FD46" s="26"/>
      <c r="FE46" s="26"/>
      <c r="FF46" s="26"/>
      <c r="FG46" s="26"/>
      <c r="FH46" s="26"/>
      <c r="FI46" s="26"/>
      <c r="FJ46" s="26"/>
      <c r="FK46" s="26"/>
      <c r="FL46" s="26"/>
      <c r="FM46" s="26"/>
      <c r="FN46" s="26"/>
      <c r="FO46" s="26"/>
      <c r="FP46" s="26"/>
      <c r="FQ46" s="26"/>
      <c r="FR46" s="26"/>
      <c r="FS46" s="26"/>
      <c r="FT46" s="26"/>
      <c r="FU46" s="26"/>
      <c r="FV46" s="26"/>
      <c r="FW46" s="26"/>
      <c r="FX46" s="26"/>
      <c r="FY46" s="26"/>
      <c r="FZ46" s="26"/>
      <c r="GA46" s="26"/>
      <c r="GB46" s="26"/>
      <c r="GC46" s="26"/>
      <c r="GD46" s="26"/>
      <c r="GE46" s="26"/>
      <c r="GF46" s="26"/>
      <c r="GG46" s="26"/>
      <c r="GH46" s="26"/>
      <c r="GI46" s="26"/>
      <c r="GJ46" s="26"/>
      <c r="GK46" s="26"/>
      <c r="GL46" s="26"/>
      <c r="GM46" s="26"/>
      <c r="GN46" s="26"/>
      <c r="GO46" s="26"/>
      <c r="GP46" s="26"/>
      <c r="GQ46" s="26"/>
      <c r="GR46" s="26"/>
      <c r="GS46" s="26"/>
      <c r="GT46" s="26"/>
      <c r="GU46" s="26"/>
      <c r="GV46" s="26"/>
      <c r="GW46" s="26"/>
      <c r="GX46" s="26"/>
      <c r="GY46" s="26"/>
      <c r="GZ46" s="26"/>
      <c r="HA46" s="26"/>
      <c r="HB46" s="26"/>
      <c r="HC46" s="26"/>
      <c r="HD46" s="26"/>
      <c r="HE46" s="26"/>
      <c r="HF46" s="26"/>
      <c r="HG46" s="26"/>
      <c r="HH46" s="26"/>
      <c r="HI46" s="26"/>
      <c r="HJ46" s="26"/>
      <c r="HK46" s="26"/>
      <c r="HL46" s="26"/>
      <c r="HM46" s="26"/>
      <c r="HN46" s="26"/>
      <c r="HO46" s="26"/>
      <c r="HP46" s="26"/>
      <c r="HQ46" s="26"/>
      <c r="HR46" s="26"/>
      <c r="HS46" s="26"/>
      <c r="HT46" s="26"/>
      <c r="HU46" s="26"/>
      <c r="HV46" s="26"/>
      <c r="HW46" s="26"/>
      <c r="HX46" s="26"/>
      <c r="HY46" s="26"/>
      <c r="HZ46" s="26"/>
      <c r="IA46" s="26"/>
      <c r="IB46" s="26"/>
      <c r="IC46" s="26"/>
      <c r="ID46" s="26"/>
      <c r="IE46" s="26"/>
      <c r="IF46" s="26"/>
      <c r="IG46" s="26"/>
      <c r="IH46" s="26"/>
      <c r="II46" s="26"/>
      <c r="IJ46" s="26"/>
      <c r="IK46" s="26"/>
      <c r="IL46" s="26"/>
      <c r="IM46" s="26"/>
      <c r="IN46" s="26"/>
      <c r="IO46" s="26"/>
      <c r="IP46" s="26"/>
      <c r="IQ46" s="26"/>
      <c r="IR46" s="26"/>
      <c r="IS46" s="26"/>
      <c r="IT46" s="26"/>
      <c r="IU46" s="26"/>
      <c r="IV46"/>
    </row>
    <row r="47" spans="1:256" s="23" customFormat="1" ht="78.900000000000006" customHeight="1">
      <c r="A47" s="66"/>
      <c r="B47" s="36"/>
      <c r="C47" s="36"/>
      <c r="D47" s="49" t="s">
        <v>288</v>
      </c>
      <c r="E47" s="48">
        <v>2</v>
      </c>
      <c r="F47" s="139" t="s">
        <v>431</v>
      </c>
      <c r="G47" s="49"/>
      <c r="H47" s="52" t="s">
        <v>432</v>
      </c>
      <c r="J47" s="28"/>
      <c r="K47" s="28"/>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26"/>
      <c r="FB47" s="26"/>
      <c r="FC47" s="26"/>
      <c r="FD47" s="26"/>
      <c r="FE47" s="26"/>
      <c r="FF47" s="26"/>
      <c r="FG47" s="26"/>
      <c r="FH47" s="26"/>
      <c r="FI47" s="26"/>
      <c r="FJ47" s="26"/>
      <c r="FK47" s="26"/>
      <c r="FL47" s="26"/>
      <c r="FM47" s="26"/>
      <c r="FN47" s="26"/>
      <c r="FO47" s="26"/>
      <c r="FP47" s="26"/>
      <c r="FQ47" s="26"/>
      <c r="FR47" s="26"/>
      <c r="FS47" s="26"/>
      <c r="FT47" s="26"/>
      <c r="FU47" s="26"/>
      <c r="FV47" s="26"/>
      <c r="FW47" s="26"/>
      <c r="FX47" s="26"/>
      <c r="FY47" s="26"/>
      <c r="FZ47" s="26"/>
      <c r="GA47" s="26"/>
      <c r="GB47" s="26"/>
      <c r="GC47" s="26"/>
      <c r="GD47" s="26"/>
      <c r="GE47" s="26"/>
      <c r="GF47" s="26"/>
      <c r="GG47" s="26"/>
      <c r="GH47" s="26"/>
      <c r="GI47" s="26"/>
      <c r="GJ47" s="26"/>
      <c r="GK47" s="26"/>
      <c r="GL47" s="26"/>
      <c r="GM47" s="26"/>
      <c r="GN47" s="26"/>
      <c r="GO47" s="26"/>
      <c r="GP47" s="26"/>
      <c r="GQ47" s="26"/>
      <c r="GR47" s="26"/>
      <c r="GS47" s="26"/>
      <c r="GT47" s="26"/>
      <c r="GU47" s="26"/>
      <c r="GV47" s="26"/>
      <c r="GW47" s="26"/>
      <c r="GX47" s="26"/>
      <c r="GY47" s="26"/>
      <c r="GZ47" s="26"/>
      <c r="HA47" s="26"/>
      <c r="HB47" s="26"/>
      <c r="HC47" s="26"/>
      <c r="HD47" s="26"/>
      <c r="HE47" s="26"/>
      <c r="HF47" s="26"/>
      <c r="HG47" s="26"/>
      <c r="HH47" s="26"/>
      <c r="HI47" s="26"/>
      <c r="HJ47" s="26"/>
      <c r="HK47" s="26"/>
      <c r="HL47" s="26"/>
      <c r="HM47" s="26"/>
      <c r="HN47" s="26"/>
      <c r="HO47" s="26"/>
      <c r="HP47" s="26"/>
      <c r="HQ47" s="26"/>
      <c r="HR47" s="26"/>
      <c r="HS47" s="26"/>
      <c r="HT47" s="26"/>
      <c r="HU47" s="26"/>
      <c r="HV47" s="26"/>
      <c r="HW47" s="26"/>
      <c r="HX47" s="26"/>
      <c r="HY47" s="26"/>
      <c r="HZ47" s="26"/>
      <c r="IA47" s="26"/>
      <c r="IB47" s="26"/>
      <c r="IC47" s="26"/>
      <c r="ID47" s="26"/>
      <c r="IE47" s="26"/>
      <c r="IF47" s="26"/>
      <c r="IG47" s="26"/>
      <c r="IH47" s="26"/>
      <c r="II47" s="26"/>
      <c r="IJ47" s="26"/>
      <c r="IK47" s="26"/>
      <c r="IL47" s="26"/>
      <c r="IM47" s="26"/>
      <c r="IN47" s="26"/>
      <c r="IO47" s="26"/>
      <c r="IP47" s="26"/>
      <c r="IQ47" s="26"/>
      <c r="IR47" s="26"/>
      <c r="IS47" s="26"/>
      <c r="IT47" s="26"/>
      <c r="IU47" s="26"/>
      <c r="IV47"/>
    </row>
    <row r="48" spans="1:256" s="23" customFormat="1" ht="171.6">
      <c r="A48" s="66"/>
      <c r="B48" s="36"/>
      <c r="C48" s="36"/>
      <c r="D48" s="49" t="s">
        <v>289</v>
      </c>
      <c r="E48" s="48">
        <v>2</v>
      </c>
      <c r="F48" s="139" t="s">
        <v>433</v>
      </c>
      <c r="G48" s="49"/>
      <c r="H48" s="52" t="s">
        <v>432</v>
      </c>
      <c r="J48" s="28"/>
      <c r="K48" s="28"/>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26"/>
      <c r="FB48" s="26"/>
      <c r="FC48" s="26"/>
      <c r="FD48" s="26"/>
      <c r="FE48" s="26"/>
      <c r="FF48" s="26"/>
      <c r="FG48" s="26"/>
      <c r="FH48" s="26"/>
      <c r="FI48" s="26"/>
      <c r="FJ48" s="26"/>
      <c r="FK48" s="26"/>
      <c r="FL48" s="26"/>
      <c r="FM48" s="26"/>
      <c r="FN48" s="26"/>
      <c r="FO48" s="26"/>
      <c r="FP48" s="26"/>
      <c r="FQ48" s="26"/>
      <c r="FR48" s="26"/>
      <c r="FS48" s="26"/>
      <c r="FT48" s="26"/>
      <c r="FU48" s="26"/>
      <c r="FV48" s="26"/>
      <c r="FW48" s="26"/>
      <c r="FX48" s="26"/>
      <c r="FY48" s="26"/>
      <c r="FZ48" s="26"/>
      <c r="GA48" s="26"/>
      <c r="GB48" s="26"/>
      <c r="GC48" s="26"/>
      <c r="GD48" s="26"/>
      <c r="GE48" s="26"/>
      <c r="GF48" s="26"/>
      <c r="GG48" s="26"/>
      <c r="GH48" s="26"/>
      <c r="GI48" s="26"/>
      <c r="GJ48" s="26"/>
      <c r="GK48" s="26"/>
      <c r="GL48" s="26"/>
      <c r="GM48" s="26"/>
      <c r="GN48" s="26"/>
      <c r="GO48" s="26"/>
      <c r="GP48" s="26"/>
      <c r="GQ48" s="26"/>
      <c r="GR48" s="26"/>
      <c r="GS48" s="26"/>
      <c r="GT48" s="26"/>
      <c r="GU48" s="26"/>
      <c r="GV48" s="26"/>
      <c r="GW48" s="26"/>
      <c r="GX48" s="26"/>
      <c r="GY48" s="26"/>
      <c r="GZ48" s="26"/>
      <c r="HA48" s="26"/>
      <c r="HB48" s="26"/>
      <c r="HC48" s="26"/>
      <c r="HD48" s="26"/>
      <c r="HE48" s="26"/>
      <c r="HF48" s="26"/>
      <c r="HG48" s="26"/>
      <c r="HH48" s="26"/>
      <c r="HI48" s="26"/>
      <c r="HJ48" s="26"/>
      <c r="HK48" s="26"/>
      <c r="HL48" s="26"/>
      <c r="HM48" s="26"/>
      <c r="HN48" s="26"/>
      <c r="HO48" s="26"/>
      <c r="HP48" s="26"/>
      <c r="HQ48" s="26"/>
      <c r="HR48" s="26"/>
      <c r="HS48" s="26"/>
      <c r="HT48" s="26"/>
      <c r="HU48" s="26"/>
      <c r="HV48" s="26"/>
      <c r="HW48" s="26"/>
      <c r="HX48" s="26"/>
      <c r="HY48" s="26"/>
      <c r="HZ48" s="26"/>
      <c r="IA48" s="26"/>
      <c r="IB48" s="26"/>
      <c r="IC48" s="26"/>
      <c r="ID48" s="26"/>
      <c r="IE48" s="26"/>
      <c r="IF48" s="26"/>
      <c r="IG48" s="26"/>
      <c r="IH48" s="26"/>
      <c r="II48" s="26"/>
      <c r="IJ48" s="26"/>
      <c r="IK48" s="26"/>
      <c r="IL48" s="26"/>
      <c r="IM48" s="26"/>
      <c r="IN48" s="26"/>
      <c r="IO48" s="26"/>
      <c r="IP48" s="26"/>
      <c r="IQ48" s="26"/>
      <c r="IR48" s="26"/>
      <c r="IS48" s="26"/>
      <c r="IT48" s="26"/>
      <c r="IU48" s="26"/>
      <c r="IV48"/>
    </row>
    <row r="49" spans="1:256" s="23" customFormat="1" ht="277.2">
      <c r="A49" s="66"/>
      <c r="B49" s="36"/>
      <c r="C49" s="36"/>
      <c r="D49" s="49" t="s">
        <v>290</v>
      </c>
      <c r="E49" s="48">
        <v>2</v>
      </c>
      <c r="F49" s="139" t="s">
        <v>434</v>
      </c>
      <c r="G49" s="49"/>
      <c r="H49" s="52" t="s">
        <v>394</v>
      </c>
      <c r="J49" s="28"/>
      <c r="K49" s="28"/>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6"/>
      <c r="DE49" s="26"/>
      <c r="DF49" s="26"/>
      <c r="DG49" s="26"/>
      <c r="DH49" s="26"/>
      <c r="DI49" s="26"/>
      <c r="DJ49" s="26"/>
      <c r="DK49" s="26"/>
      <c r="DL49" s="26"/>
      <c r="DM49" s="26"/>
      <c r="DN49" s="26"/>
      <c r="DO49" s="26"/>
      <c r="DP49" s="26"/>
      <c r="DQ49" s="26"/>
      <c r="DR49" s="26"/>
      <c r="DS49" s="26"/>
      <c r="DT49" s="26"/>
      <c r="DU49" s="26"/>
      <c r="DV49" s="26"/>
      <c r="DW49" s="26"/>
      <c r="DX49" s="26"/>
      <c r="DY49" s="26"/>
      <c r="DZ49" s="26"/>
      <c r="EA49" s="26"/>
      <c r="EB49" s="26"/>
      <c r="EC49" s="26"/>
      <c r="ED49" s="26"/>
      <c r="EE49" s="26"/>
      <c r="EF49" s="26"/>
      <c r="EG49" s="26"/>
      <c r="EH49" s="26"/>
      <c r="EI49" s="26"/>
      <c r="EJ49" s="26"/>
      <c r="EK49" s="26"/>
      <c r="EL49" s="26"/>
      <c r="EM49" s="26"/>
      <c r="EN49" s="26"/>
      <c r="EO49" s="26"/>
      <c r="EP49" s="26"/>
      <c r="EQ49" s="26"/>
      <c r="ER49" s="26"/>
      <c r="ES49" s="26"/>
      <c r="ET49" s="26"/>
      <c r="EU49" s="26"/>
      <c r="EV49" s="26"/>
      <c r="EW49" s="26"/>
      <c r="EX49" s="26"/>
      <c r="EY49" s="26"/>
      <c r="EZ49" s="26"/>
      <c r="FA49" s="26"/>
      <c r="FB49" s="26"/>
      <c r="FC49" s="26"/>
      <c r="FD49" s="26"/>
      <c r="FE49" s="26"/>
      <c r="FF49" s="26"/>
      <c r="FG49" s="26"/>
      <c r="FH49" s="26"/>
      <c r="FI49" s="26"/>
      <c r="FJ49" s="26"/>
      <c r="FK49" s="26"/>
      <c r="FL49" s="26"/>
      <c r="FM49" s="26"/>
      <c r="FN49" s="26"/>
      <c r="FO49" s="26"/>
      <c r="FP49" s="26"/>
      <c r="FQ49" s="26"/>
      <c r="FR49" s="26"/>
      <c r="FS49" s="26"/>
      <c r="FT49" s="26"/>
      <c r="FU49" s="26"/>
      <c r="FV49" s="26"/>
      <c r="FW49" s="26"/>
      <c r="FX49" s="26"/>
      <c r="FY49" s="26"/>
      <c r="FZ49" s="26"/>
      <c r="GA49" s="26"/>
      <c r="GB49" s="26"/>
      <c r="GC49" s="26"/>
      <c r="GD49" s="26"/>
      <c r="GE49" s="26"/>
      <c r="GF49" s="26"/>
      <c r="GG49" s="26"/>
      <c r="GH49" s="26"/>
      <c r="GI49" s="26"/>
      <c r="GJ49" s="26"/>
      <c r="GK49" s="26"/>
      <c r="GL49" s="26"/>
      <c r="GM49" s="26"/>
      <c r="GN49" s="26"/>
      <c r="GO49" s="26"/>
      <c r="GP49" s="26"/>
      <c r="GQ49" s="26"/>
      <c r="GR49" s="26"/>
      <c r="GS49" s="26"/>
      <c r="GT49" s="26"/>
      <c r="GU49" s="26"/>
      <c r="GV49" s="26"/>
      <c r="GW49" s="26"/>
      <c r="GX49" s="26"/>
      <c r="GY49" s="26"/>
      <c r="GZ49" s="26"/>
      <c r="HA49" s="26"/>
      <c r="HB49" s="26"/>
      <c r="HC49" s="26"/>
      <c r="HD49" s="26"/>
      <c r="HE49" s="26"/>
      <c r="HF49" s="26"/>
      <c r="HG49" s="26"/>
      <c r="HH49" s="26"/>
      <c r="HI49" s="26"/>
      <c r="HJ49" s="26"/>
      <c r="HK49" s="26"/>
      <c r="HL49" s="26"/>
      <c r="HM49" s="26"/>
      <c r="HN49" s="26"/>
      <c r="HO49" s="26"/>
      <c r="HP49" s="26"/>
      <c r="HQ49" s="26"/>
      <c r="HR49" s="26"/>
      <c r="HS49" s="26"/>
      <c r="HT49" s="26"/>
      <c r="HU49" s="26"/>
      <c r="HV49" s="26"/>
      <c r="HW49" s="26"/>
      <c r="HX49" s="26"/>
      <c r="HY49" s="26"/>
      <c r="HZ49" s="26"/>
      <c r="IA49" s="26"/>
      <c r="IB49" s="26"/>
      <c r="IC49" s="26"/>
      <c r="ID49" s="26"/>
      <c r="IE49" s="26"/>
      <c r="IF49" s="26"/>
      <c r="IG49" s="26"/>
      <c r="IH49" s="26"/>
      <c r="II49" s="26"/>
      <c r="IJ49" s="26"/>
      <c r="IK49" s="26"/>
      <c r="IL49" s="26"/>
      <c r="IM49" s="26"/>
      <c r="IN49" s="26"/>
      <c r="IO49" s="26"/>
      <c r="IP49" s="26"/>
      <c r="IQ49" s="26"/>
      <c r="IR49" s="26"/>
      <c r="IS49" s="26"/>
      <c r="IT49" s="26"/>
      <c r="IU49" s="26"/>
      <c r="IV49"/>
    </row>
    <row r="50" spans="1:256" s="23" customFormat="1" ht="66.900000000000006" customHeight="1">
      <c r="A50" s="66"/>
      <c r="B50" s="36"/>
      <c r="C50" s="36"/>
      <c r="D50" s="49" t="s">
        <v>291</v>
      </c>
      <c r="E50" s="48">
        <v>2</v>
      </c>
      <c r="F50" s="139" t="s">
        <v>435</v>
      </c>
      <c r="G50" s="49"/>
      <c r="H50" s="52" t="s">
        <v>414</v>
      </c>
      <c r="J50" s="28"/>
      <c r="K50" s="28"/>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c r="BT50" s="26"/>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26"/>
      <c r="DU50" s="26"/>
      <c r="DV50" s="26"/>
      <c r="DW50" s="26"/>
      <c r="DX50" s="26"/>
      <c r="DY50" s="26"/>
      <c r="DZ50" s="26"/>
      <c r="EA50" s="26"/>
      <c r="EB50" s="26"/>
      <c r="EC50" s="26"/>
      <c r="ED50" s="26"/>
      <c r="EE50" s="26"/>
      <c r="EF50" s="26"/>
      <c r="EG50" s="26"/>
      <c r="EH50" s="26"/>
      <c r="EI50" s="26"/>
      <c r="EJ50" s="26"/>
      <c r="EK50" s="26"/>
      <c r="EL50" s="26"/>
      <c r="EM50" s="26"/>
      <c r="EN50" s="26"/>
      <c r="EO50" s="26"/>
      <c r="EP50" s="26"/>
      <c r="EQ50" s="26"/>
      <c r="ER50" s="26"/>
      <c r="ES50" s="26"/>
      <c r="ET50" s="26"/>
      <c r="EU50" s="26"/>
      <c r="EV50" s="26"/>
      <c r="EW50" s="26"/>
      <c r="EX50" s="26"/>
      <c r="EY50" s="26"/>
      <c r="EZ50" s="26"/>
      <c r="FA50" s="26"/>
      <c r="FB50" s="26"/>
      <c r="FC50" s="26"/>
      <c r="FD50" s="26"/>
      <c r="FE50" s="26"/>
      <c r="FF50" s="26"/>
      <c r="FG50" s="26"/>
      <c r="FH50" s="26"/>
      <c r="FI50" s="26"/>
      <c r="FJ50" s="26"/>
      <c r="FK50" s="26"/>
      <c r="FL50" s="26"/>
      <c r="FM50" s="26"/>
      <c r="FN50" s="26"/>
      <c r="FO50" s="26"/>
      <c r="FP50" s="26"/>
      <c r="FQ50" s="26"/>
      <c r="FR50" s="26"/>
      <c r="FS50" s="26"/>
      <c r="FT50" s="26"/>
      <c r="FU50" s="26"/>
      <c r="FV50" s="26"/>
      <c r="FW50" s="26"/>
      <c r="FX50" s="26"/>
      <c r="FY50" s="26"/>
      <c r="FZ50" s="26"/>
      <c r="GA50" s="26"/>
      <c r="GB50" s="26"/>
      <c r="GC50" s="26"/>
      <c r="GD50" s="26"/>
      <c r="GE50" s="26"/>
      <c r="GF50" s="26"/>
      <c r="GG50" s="26"/>
      <c r="GH50" s="26"/>
      <c r="GI50" s="26"/>
      <c r="GJ50" s="26"/>
      <c r="GK50" s="26"/>
      <c r="GL50" s="26"/>
      <c r="GM50" s="26"/>
      <c r="GN50" s="26"/>
      <c r="GO50" s="26"/>
      <c r="GP50" s="26"/>
      <c r="GQ50" s="26"/>
      <c r="GR50" s="26"/>
      <c r="GS50" s="26"/>
      <c r="GT50" s="26"/>
      <c r="GU50" s="26"/>
      <c r="GV50" s="26"/>
      <c r="GW50" s="26"/>
      <c r="GX50" s="26"/>
      <c r="GY50" s="26"/>
      <c r="GZ50" s="26"/>
      <c r="HA50" s="26"/>
      <c r="HB50" s="26"/>
      <c r="HC50" s="26"/>
      <c r="HD50" s="26"/>
      <c r="HE50" s="26"/>
      <c r="HF50" s="26"/>
      <c r="HG50" s="26"/>
      <c r="HH50" s="26"/>
      <c r="HI50" s="26"/>
      <c r="HJ50" s="26"/>
      <c r="HK50" s="26"/>
      <c r="HL50" s="26"/>
      <c r="HM50" s="26"/>
      <c r="HN50" s="26"/>
      <c r="HO50" s="26"/>
      <c r="HP50" s="26"/>
      <c r="HQ50" s="26"/>
      <c r="HR50" s="26"/>
      <c r="HS50" s="26"/>
      <c r="HT50" s="26"/>
      <c r="HU50" s="26"/>
      <c r="HV50" s="26"/>
      <c r="HW50" s="26"/>
      <c r="HX50" s="26"/>
      <c r="HY50" s="26"/>
      <c r="HZ50" s="26"/>
      <c r="IA50" s="26"/>
      <c r="IB50" s="26"/>
      <c r="IC50" s="26"/>
      <c r="ID50" s="26"/>
      <c r="IE50" s="26"/>
      <c r="IF50" s="26"/>
      <c r="IG50" s="26"/>
      <c r="IH50" s="26"/>
      <c r="II50" s="26"/>
      <c r="IJ50" s="26"/>
      <c r="IK50" s="26"/>
      <c r="IL50" s="26"/>
      <c r="IM50" s="26"/>
      <c r="IN50" s="26"/>
      <c r="IO50" s="26"/>
      <c r="IP50" s="26"/>
      <c r="IQ50" s="26"/>
      <c r="IR50" s="26"/>
      <c r="IS50" s="26"/>
      <c r="IT50" s="26"/>
      <c r="IU50" s="26"/>
      <c r="IV50"/>
    </row>
    <row r="51" spans="1:256" s="23" customFormat="1" ht="80.099999999999994" customHeight="1">
      <c r="A51" s="45">
        <v>4</v>
      </c>
      <c r="B51" s="36" t="s">
        <v>292</v>
      </c>
      <c r="C51" s="36" t="s">
        <v>293</v>
      </c>
      <c r="D51" s="49" t="s">
        <v>294</v>
      </c>
      <c r="E51" s="48">
        <v>3</v>
      </c>
      <c r="F51" s="139" t="s">
        <v>406</v>
      </c>
      <c r="G51" s="49"/>
      <c r="H51" s="52" t="s">
        <v>436</v>
      </c>
      <c r="J51" s="28"/>
      <c r="K51" s="28"/>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6"/>
      <c r="FI51" s="26"/>
      <c r="FJ51" s="26"/>
      <c r="FK51" s="26"/>
      <c r="FL51" s="26"/>
      <c r="FM51" s="26"/>
      <c r="FN51" s="26"/>
      <c r="FO51" s="26"/>
      <c r="FP51" s="26"/>
      <c r="FQ51" s="26"/>
      <c r="FR51" s="26"/>
      <c r="FS51" s="26"/>
      <c r="FT51" s="26"/>
      <c r="FU51" s="26"/>
      <c r="FV51" s="26"/>
      <c r="FW51" s="26"/>
      <c r="FX51" s="26"/>
      <c r="FY51" s="26"/>
      <c r="FZ51" s="26"/>
      <c r="GA51" s="26"/>
      <c r="GB51" s="26"/>
      <c r="GC51" s="26"/>
      <c r="GD51" s="26"/>
      <c r="GE51" s="26"/>
      <c r="GF51" s="26"/>
      <c r="GG51" s="26"/>
      <c r="GH51" s="26"/>
      <c r="GI51" s="26"/>
      <c r="GJ51" s="26"/>
      <c r="GK51" s="26"/>
      <c r="GL51" s="26"/>
      <c r="GM51" s="26"/>
      <c r="GN51" s="26"/>
      <c r="GO51" s="26"/>
      <c r="GP51" s="26"/>
      <c r="GQ51" s="26"/>
      <c r="GR51" s="26"/>
      <c r="GS51" s="26"/>
      <c r="GT51" s="26"/>
      <c r="GU51" s="26"/>
      <c r="GV51" s="26"/>
      <c r="GW51" s="26"/>
      <c r="GX51" s="26"/>
      <c r="GY51" s="26"/>
      <c r="GZ51" s="26"/>
      <c r="HA51" s="26"/>
      <c r="HB51" s="26"/>
      <c r="HC51" s="26"/>
      <c r="HD51" s="26"/>
      <c r="HE51" s="26"/>
      <c r="HF51" s="26"/>
      <c r="HG51" s="26"/>
      <c r="HH51" s="26"/>
      <c r="HI51" s="26"/>
      <c r="HJ51" s="26"/>
      <c r="HK51" s="26"/>
      <c r="HL51" s="26"/>
      <c r="HM51" s="26"/>
      <c r="HN51" s="26"/>
      <c r="HO51" s="26"/>
      <c r="HP51" s="26"/>
      <c r="HQ51" s="26"/>
      <c r="HR51" s="26"/>
      <c r="HS51" s="26"/>
      <c r="HT51" s="26"/>
      <c r="HU51" s="26"/>
      <c r="HV51" s="26"/>
      <c r="HW51" s="26"/>
      <c r="HX51" s="26"/>
      <c r="HY51" s="26"/>
      <c r="HZ51" s="26"/>
      <c r="IA51" s="26"/>
      <c r="IB51" s="26"/>
      <c r="IC51" s="26"/>
      <c r="ID51" s="26"/>
      <c r="IE51" s="26"/>
      <c r="IF51" s="26"/>
      <c r="IG51" s="26"/>
      <c r="IH51" s="26"/>
      <c r="II51" s="26"/>
      <c r="IJ51" s="26"/>
      <c r="IK51" s="26"/>
      <c r="IL51" s="26"/>
      <c r="IM51" s="26"/>
      <c r="IN51" s="26"/>
      <c r="IO51" s="26"/>
      <c r="IP51" s="26"/>
      <c r="IQ51" s="26"/>
      <c r="IR51" s="26"/>
      <c r="IS51" s="26"/>
      <c r="IT51" s="26"/>
      <c r="IU51" s="26"/>
      <c r="IV51"/>
    </row>
    <row r="52" spans="1:256" s="23" customFormat="1" ht="105.6">
      <c r="A52" s="66"/>
      <c r="B52" s="36"/>
      <c r="C52" s="36"/>
      <c r="D52" s="49" t="s">
        <v>295</v>
      </c>
      <c r="E52" s="48">
        <v>2</v>
      </c>
      <c r="F52" s="49" t="s">
        <v>406</v>
      </c>
      <c r="G52" s="49"/>
      <c r="H52" s="52" t="s">
        <v>436</v>
      </c>
      <c r="J52" s="28"/>
      <c r="K52" s="28"/>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26"/>
      <c r="FC52" s="26"/>
      <c r="FD52" s="26"/>
      <c r="FE52" s="26"/>
      <c r="FF52" s="26"/>
      <c r="FG52" s="26"/>
      <c r="FH52" s="26"/>
      <c r="FI52" s="26"/>
      <c r="FJ52" s="26"/>
      <c r="FK52" s="26"/>
      <c r="FL52" s="26"/>
      <c r="FM52" s="26"/>
      <c r="FN52" s="26"/>
      <c r="FO52" s="26"/>
      <c r="FP52" s="26"/>
      <c r="FQ52" s="26"/>
      <c r="FR52" s="26"/>
      <c r="FS52" s="26"/>
      <c r="FT52" s="26"/>
      <c r="FU52" s="26"/>
      <c r="FV52" s="26"/>
      <c r="FW52" s="26"/>
      <c r="FX52" s="26"/>
      <c r="FY52" s="26"/>
      <c r="FZ52" s="26"/>
      <c r="GA52" s="26"/>
      <c r="GB52" s="26"/>
      <c r="GC52" s="26"/>
      <c r="GD52" s="26"/>
      <c r="GE52" s="26"/>
      <c r="GF52" s="26"/>
      <c r="GG52" s="26"/>
      <c r="GH52" s="26"/>
      <c r="GI52" s="26"/>
      <c r="GJ52" s="26"/>
      <c r="GK52" s="26"/>
      <c r="GL52" s="26"/>
      <c r="GM52" s="26"/>
      <c r="GN52" s="26"/>
      <c r="GO52" s="26"/>
      <c r="GP52" s="26"/>
      <c r="GQ52" s="26"/>
      <c r="GR52" s="26"/>
      <c r="GS52" s="26"/>
      <c r="GT52" s="26"/>
      <c r="GU52" s="26"/>
      <c r="GV52" s="26"/>
      <c r="GW52" s="26"/>
      <c r="GX52" s="26"/>
      <c r="GY52" s="26"/>
      <c r="GZ52" s="26"/>
      <c r="HA52" s="26"/>
      <c r="HB52" s="26"/>
      <c r="HC52" s="26"/>
      <c r="HD52" s="26"/>
      <c r="HE52" s="26"/>
      <c r="HF52" s="26"/>
      <c r="HG52" s="26"/>
      <c r="HH52" s="26"/>
      <c r="HI52" s="26"/>
      <c r="HJ52" s="26"/>
      <c r="HK52" s="26"/>
      <c r="HL52" s="26"/>
      <c r="HM52" s="26"/>
      <c r="HN52" s="26"/>
      <c r="HO52" s="26"/>
      <c r="HP52" s="26"/>
      <c r="HQ52" s="26"/>
      <c r="HR52" s="26"/>
      <c r="HS52" s="26"/>
      <c r="HT52" s="26"/>
      <c r="HU52" s="26"/>
      <c r="HV52" s="26"/>
      <c r="HW52" s="26"/>
      <c r="HX52" s="26"/>
      <c r="HY52" s="26"/>
      <c r="HZ52" s="26"/>
      <c r="IA52" s="26"/>
      <c r="IB52" s="26"/>
      <c r="IC52" s="26"/>
      <c r="ID52" s="26"/>
      <c r="IE52" s="26"/>
      <c r="IF52" s="26"/>
      <c r="IG52" s="26"/>
      <c r="IH52" s="26"/>
      <c r="II52" s="26"/>
      <c r="IJ52" s="26"/>
      <c r="IK52" s="26"/>
      <c r="IL52" s="26"/>
      <c r="IM52" s="26"/>
      <c r="IN52" s="26"/>
      <c r="IO52" s="26"/>
      <c r="IP52" s="26"/>
      <c r="IQ52" s="26"/>
      <c r="IR52" s="26"/>
      <c r="IS52" s="26"/>
      <c r="IT52" s="26"/>
      <c r="IU52" s="26"/>
      <c r="IV52"/>
    </row>
    <row r="53" spans="1:256" s="23" customFormat="1" ht="132">
      <c r="A53" s="66"/>
      <c r="B53" s="36"/>
      <c r="C53" s="36"/>
      <c r="D53" s="49" t="s">
        <v>296</v>
      </c>
      <c r="E53" s="48">
        <v>2</v>
      </c>
      <c r="F53" s="49" t="s">
        <v>407</v>
      </c>
      <c r="G53" s="49"/>
      <c r="H53" s="52" t="s">
        <v>436</v>
      </c>
      <c r="J53" s="28"/>
      <c r="K53" s="28"/>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c r="FI53" s="26"/>
      <c r="FJ53" s="26"/>
      <c r="FK53" s="26"/>
      <c r="FL53" s="26"/>
      <c r="FM53" s="26"/>
      <c r="FN53" s="26"/>
      <c r="FO53" s="26"/>
      <c r="FP53" s="26"/>
      <c r="FQ53" s="26"/>
      <c r="FR53" s="26"/>
      <c r="FS53" s="26"/>
      <c r="FT53" s="26"/>
      <c r="FU53" s="26"/>
      <c r="FV53" s="26"/>
      <c r="FW53" s="26"/>
      <c r="FX53" s="26"/>
      <c r="FY53" s="26"/>
      <c r="FZ53" s="26"/>
      <c r="GA53" s="26"/>
      <c r="GB53" s="26"/>
      <c r="GC53" s="26"/>
      <c r="GD53" s="26"/>
      <c r="GE53" s="26"/>
      <c r="GF53" s="26"/>
      <c r="GG53" s="26"/>
      <c r="GH53" s="26"/>
      <c r="GI53" s="26"/>
      <c r="GJ53" s="26"/>
      <c r="GK53" s="26"/>
      <c r="GL53" s="26"/>
      <c r="GM53" s="26"/>
      <c r="GN53" s="26"/>
      <c r="GO53" s="26"/>
      <c r="GP53" s="26"/>
      <c r="GQ53" s="26"/>
      <c r="GR53" s="26"/>
      <c r="GS53" s="26"/>
      <c r="GT53" s="26"/>
      <c r="GU53" s="26"/>
      <c r="GV53" s="26"/>
      <c r="GW53" s="26"/>
      <c r="GX53" s="26"/>
      <c r="GY53" s="26"/>
      <c r="GZ53" s="26"/>
      <c r="HA53" s="26"/>
      <c r="HB53" s="26"/>
      <c r="HC53" s="26"/>
      <c r="HD53" s="26"/>
      <c r="HE53" s="26"/>
      <c r="HF53" s="26"/>
      <c r="HG53" s="26"/>
      <c r="HH53" s="26"/>
      <c r="HI53" s="26"/>
      <c r="HJ53" s="26"/>
      <c r="HK53" s="26"/>
      <c r="HL53" s="26"/>
      <c r="HM53" s="26"/>
      <c r="HN53" s="26"/>
      <c r="HO53" s="26"/>
      <c r="HP53" s="26"/>
      <c r="HQ53" s="26"/>
      <c r="HR53" s="26"/>
      <c r="HS53" s="26"/>
      <c r="HT53" s="26"/>
      <c r="HU53" s="26"/>
      <c r="HV53" s="26"/>
      <c r="HW53" s="26"/>
      <c r="HX53" s="26"/>
      <c r="HY53" s="26"/>
      <c r="HZ53" s="26"/>
      <c r="IA53" s="26"/>
      <c r="IB53" s="26"/>
      <c r="IC53" s="26"/>
      <c r="ID53" s="26"/>
      <c r="IE53" s="26"/>
      <c r="IF53" s="26"/>
      <c r="IG53" s="26"/>
      <c r="IH53" s="26"/>
      <c r="II53" s="26"/>
      <c r="IJ53" s="26"/>
      <c r="IK53" s="26"/>
      <c r="IL53" s="26"/>
      <c r="IM53" s="26"/>
      <c r="IN53" s="26"/>
      <c r="IO53" s="26"/>
      <c r="IP53" s="26"/>
      <c r="IQ53" s="26"/>
      <c r="IR53" s="26"/>
      <c r="IS53" s="26"/>
      <c r="IT53" s="26"/>
      <c r="IU53" s="26"/>
      <c r="IV53"/>
    </row>
    <row r="54" spans="1:256" s="23" customFormat="1" ht="92.4">
      <c r="A54" s="66"/>
      <c r="B54" s="36"/>
      <c r="C54" s="36"/>
      <c r="D54" s="49" t="s">
        <v>297</v>
      </c>
      <c r="E54" s="48">
        <v>1</v>
      </c>
      <c r="F54" s="49" t="s">
        <v>408</v>
      </c>
      <c r="G54" s="49"/>
      <c r="H54" s="52" t="s">
        <v>429</v>
      </c>
      <c r="J54" s="28"/>
      <c r="K54" s="28"/>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26"/>
      <c r="CU54" s="26"/>
      <c r="CV54" s="26"/>
      <c r="CW54" s="26"/>
      <c r="CX54" s="26"/>
      <c r="CY54" s="26"/>
      <c r="CZ54" s="26"/>
      <c r="DA54" s="26"/>
      <c r="DB54" s="26"/>
      <c r="DC54" s="26"/>
      <c r="DD54" s="26"/>
      <c r="DE54" s="26"/>
      <c r="DF54" s="26"/>
      <c r="DG54" s="26"/>
      <c r="DH54" s="26"/>
      <c r="DI54" s="26"/>
      <c r="DJ54" s="26"/>
      <c r="DK54" s="26"/>
      <c r="DL54" s="26"/>
      <c r="DM54" s="26"/>
      <c r="DN54" s="26"/>
      <c r="DO54" s="26"/>
      <c r="DP54" s="26"/>
      <c r="DQ54" s="26"/>
      <c r="DR54" s="26"/>
      <c r="DS54" s="26"/>
      <c r="DT54" s="26"/>
      <c r="DU54" s="26"/>
      <c r="DV54" s="26"/>
      <c r="DW54" s="26"/>
      <c r="DX54" s="26"/>
      <c r="DY54" s="26"/>
      <c r="DZ54" s="26"/>
      <c r="EA54" s="26"/>
      <c r="EB54" s="26"/>
      <c r="EC54" s="26"/>
      <c r="ED54" s="26"/>
      <c r="EE54" s="26"/>
      <c r="EF54" s="26"/>
      <c r="EG54" s="26"/>
      <c r="EH54" s="26"/>
      <c r="EI54" s="26"/>
      <c r="EJ54" s="26"/>
      <c r="EK54" s="26"/>
      <c r="EL54" s="26"/>
      <c r="EM54" s="26"/>
      <c r="EN54" s="26"/>
      <c r="EO54" s="26"/>
      <c r="EP54" s="26"/>
      <c r="EQ54" s="26"/>
      <c r="ER54" s="26"/>
      <c r="ES54" s="26"/>
      <c r="ET54" s="26"/>
      <c r="EU54" s="26"/>
      <c r="EV54" s="26"/>
      <c r="EW54" s="26"/>
      <c r="EX54" s="26"/>
      <c r="EY54" s="26"/>
      <c r="EZ54" s="26"/>
      <c r="FA54" s="26"/>
      <c r="FB54" s="26"/>
      <c r="FC54" s="26"/>
      <c r="FD54" s="26"/>
      <c r="FE54" s="26"/>
      <c r="FF54" s="26"/>
      <c r="FG54" s="26"/>
      <c r="FH54" s="26"/>
      <c r="FI54" s="26"/>
      <c r="FJ54" s="26"/>
      <c r="FK54" s="26"/>
      <c r="FL54" s="26"/>
      <c r="FM54" s="26"/>
      <c r="FN54" s="26"/>
      <c r="FO54" s="26"/>
      <c r="FP54" s="26"/>
      <c r="FQ54" s="26"/>
      <c r="FR54" s="26"/>
      <c r="FS54" s="26"/>
      <c r="FT54" s="26"/>
      <c r="FU54" s="26"/>
      <c r="FV54" s="26"/>
      <c r="FW54" s="26"/>
      <c r="FX54" s="26"/>
      <c r="FY54" s="26"/>
      <c r="FZ54" s="26"/>
      <c r="GA54" s="26"/>
      <c r="GB54" s="26"/>
      <c r="GC54" s="26"/>
      <c r="GD54" s="26"/>
      <c r="GE54" s="26"/>
      <c r="GF54" s="26"/>
      <c r="GG54" s="26"/>
      <c r="GH54" s="26"/>
      <c r="GI54" s="26"/>
      <c r="GJ54" s="26"/>
      <c r="GK54" s="26"/>
      <c r="GL54" s="26"/>
      <c r="GM54" s="26"/>
      <c r="GN54" s="26"/>
      <c r="GO54" s="26"/>
      <c r="GP54" s="26"/>
      <c r="GQ54" s="26"/>
      <c r="GR54" s="26"/>
      <c r="GS54" s="26"/>
      <c r="GT54" s="26"/>
      <c r="GU54" s="26"/>
      <c r="GV54" s="26"/>
      <c r="GW54" s="26"/>
      <c r="GX54" s="26"/>
      <c r="GY54" s="26"/>
      <c r="GZ54" s="26"/>
      <c r="HA54" s="26"/>
      <c r="HB54" s="26"/>
      <c r="HC54" s="26"/>
      <c r="HD54" s="26"/>
      <c r="HE54" s="26"/>
      <c r="HF54" s="26"/>
      <c r="HG54" s="26"/>
      <c r="HH54" s="26"/>
      <c r="HI54" s="26"/>
      <c r="HJ54" s="26"/>
      <c r="HK54" s="26"/>
      <c r="HL54" s="26"/>
      <c r="HM54" s="26"/>
      <c r="HN54" s="26"/>
      <c r="HO54" s="26"/>
      <c r="HP54" s="26"/>
      <c r="HQ54" s="26"/>
      <c r="HR54" s="26"/>
      <c r="HS54" s="26"/>
      <c r="HT54" s="26"/>
      <c r="HU54" s="26"/>
      <c r="HV54" s="26"/>
      <c r="HW54" s="26"/>
      <c r="HX54" s="26"/>
      <c r="HY54" s="26"/>
      <c r="HZ54" s="26"/>
      <c r="IA54" s="26"/>
      <c r="IB54" s="26"/>
      <c r="IC54" s="26"/>
      <c r="ID54" s="26"/>
      <c r="IE54" s="26"/>
      <c r="IF54" s="26"/>
      <c r="IG54" s="26"/>
      <c r="IH54" s="26"/>
      <c r="II54" s="26"/>
      <c r="IJ54" s="26"/>
      <c r="IK54" s="26"/>
      <c r="IL54" s="26"/>
      <c r="IM54" s="26"/>
      <c r="IN54" s="26"/>
      <c r="IO54" s="26"/>
      <c r="IP54" s="26"/>
      <c r="IQ54" s="26"/>
      <c r="IR54" s="26"/>
      <c r="IS54" s="26"/>
      <c r="IT54" s="26"/>
      <c r="IU54" s="26"/>
      <c r="IV54"/>
    </row>
    <row r="55" spans="1:256" s="23" customFormat="1" ht="92.4">
      <c r="A55" s="66"/>
      <c r="B55" s="36"/>
      <c r="C55" s="36" t="s">
        <v>298</v>
      </c>
      <c r="D55" s="49" t="s">
        <v>299</v>
      </c>
      <c r="E55" s="48">
        <v>2</v>
      </c>
      <c r="F55" s="142" t="s">
        <v>451</v>
      </c>
      <c r="G55" s="49"/>
      <c r="H55" s="141" t="s">
        <v>459</v>
      </c>
      <c r="J55" s="28"/>
      <c r="K55" s="28"/>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c r="FI55" s="26"/>
      <c r="FJ55" s="26"/>
      <c r="FK55" s="26"/>
      <c r="FL55" s="26"/>
      <c r="FM55" s="26"/>
      <c r="FN55" s="26"/>
      <c r="FO55" s="26"/>
      <c r="FP55" s="26"/>
      <c r="FQ55" s="26"/>
      <c r="FR55" s="26"/>
      <c r="FS55" s="26"/>
      <c r="FT55" s="26"/>
      <c r="FU55" s="26"/>
      <c r="FV55" s="26"/>
      <c r="FW55" s="26"/>
      <c r="FX55" s="26"/>
      <c r="FY55" s="26"/>
      <c r="FZ55" s="26"/>
      <c r="GA55" s="26"/>
      <c r="GB55" s="26"/>
      <c r="GC55" s="26"/>
      <c r="GD55" s="26"/>
      <c r="GE55" s="26"/>
      <c r="GF55" s="26"/>
      <c r="GG55" s="26"/>
      <c r="GH55" s="26"/>
      <c r="GI55" s="26"/>
      <c r="GJ55" s="26"/>
      <c r="GK55" s="26"/>
      <c r="GL55" s="26"/>
      <c r="GM55" s="26"/>
      <c r="GN55" s="26"/>
      <c r="GO55" s="26"/>
      <c r="GP55" s="26"/>
      <c r="GQ55" s="26"/>
      <c r="GR55" s="26"/>
      <c r="GS55" s="26"/>
      <c r="GT55" s="26"/>
      <c r="GU55" s="26"/>
      <c r="GV55" s="26"/>
      <c r="GW55" s="26"/>
      <c r="GX55" s="26"/>
      <c r="GY55" s="26"/>
      <c r="GZ55" s="26"/>
      <c r="HA55" s="26"/>
      <c r="HB55" s="26"/>
      <c r="HC55" s="26"/>
      <c r="HD55" s="26"/>
      <c r="HE55" s="26"/>
      <c r="HF55" s="26"/>
      <c r="HG55" s="26"/>
      <c r="HH55" s="26"/>
      <c r="HI55" s="26"/>
      <c r="HJ55" s="26"/>
      <c r="HK55" s="26"/>
      <c r="HL55" s="26"/>
      <c r="HM55" s="26"/>
      <c r="HN55" s="26"/>
      <c r="HO55" s="26"/>
      <c r="HP55" s="26"/>
      <c r="HQ55" s="26"/>
      <c r="HR55" s="26"/>
      <c r="HS55" s="26"/>
      <c r="HT55" s="26"/>
      <c r="HU55" s="26"/>
      <c r="HV55" s="26"/>
      <c r="HW55" s="26"/>
      <c r="HX55" s="26"/>
      <c r="HY55" s="26"/>
      <c r="HZ55" s="26"/>
      <c r="IA55" s="26"/>
      <c r="IB55" s="26"/>
      <c r="IC55" s="26"/>
      <c r="ID55" s="26"/>
      <c r="IE55" s="26"/>
      <c r="IF55" s="26"/>
      <c r="IG55" s="26"/>
      <c r="IH55" s="26"/>
      <c r="II55" s="26"/>
      <c r="IJ55" s="26"/>
      <c r="IK55" s="26"/>
      <c r="IL55" s="26"/>
      <c r="IM55" s="26"/>
      <c r="IN55" s="26"/>
      <c r="IO55" s="26"/>
      <c r="IP55" s="26"/>
      <c r="IQ55" s="26"/>
      <c r="IR55" s="26"/>
      <c r="IS55" s="26"/>
      <c r="IT55" s="26"/>
      <c r="IU55" s="26"/>
      <c r="IV55"/>
    </row>
    <row r="56" spans="1:256" s="23" customFormat="1" ht="92.4">
      <c r="A56" s="66"/>
      <c r="B56" s="36"/>
      <c r="C56" s="36"/>
      <c r="D56" s="49" t="s">
        <v>300</v>
      </c>
      <c r="E56" s="48">
        <v>2</v>
      </c>
      <c r="F56" s="140" t="s">
        <v>457</v>
      </c>
      <c r="G56" s="49"/>
      <c r="H56" s="141" t="s">
        <v>459</v>
      </c>
      <c r="J56" s="28"/>
      <c r="K56" s="28"/>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c r="FI56" s="26"/>
      <c r="FJ56" s="26"/>
      <c r="FK56" s="26"/>
      <c r="FL56" s="26"/>
      <c r="FM56" s="26"/>
      <c r="FN56" s="26"/>
      <c r="FO56" s="26"/>
      <c r="FP56" s="26"/>
      <c r="FQ56" s="26"/>
      <c r="FR56" s="26"/>
      <c r="FS56" s="26"/>
      <c r="FT56" s="26"/>
      <c r="FU56" s="26"/>
      <c r="FV56" s="26"/>
      <c r="FW56" s="26"/>
      <c r="FX56" s="26"/>
      <c r="FY56" s="26"/>
      <c r="FZ56" s="26"/>
      <c r="GA56" s="26"/>
      <c r="GB56" s="26"/>
      <c r="GC56" s="26"/>
      <c r="GD56" s="26"/>
      <c r="GE56" s="26"/>
      <c r="GF56" s="26"/>
      <c r="GG56" s="26"/>
      <c r="GH56" s="26"/>
      <c r="GI56" s="26"/>
      <c r="GJ56" s="26"/>
      <c r="GK56" s="26"/>
      <c r="GL56" s="26"/>
      <c r="GM56" s="26"/>
      <c r="GN56" s="26"/>
      <c r="GO56" s="26"/>
      <c r="GP56" s="26"/>
      <c r="GQ56" s="26"/>
      <c r="GR56" s="26"/>
      <c r="GS56" s="26"/>
      <c r="GT56" s="26"/>
      <c r="GU56" s="26"/>
      <c r="GV56" s="26"/>
      <c r="GW56" s="26"/>
      <c r="GX56" s="26"/>
      <c r="GY56" s="26"/>
      <c r="GZ56" s="26"/>
      <c r="HA56" s="26"/>
      <c r="HB56" s="26"/>
      <c r="HC56" s="26"/>
      <c r="HD56" s="26"/>
      <c r="HE56" s="26"/>
      <c r="HF56" s="26"/>
      <c r="HG56" s="26"/>
      <c r="HH56" s="26"/>
      <c r="HI56" s="26"/>
      <c r="HJ56" s="26"/>
      <c r="HK56" s="26"/>
      <c r="HL56" s="26"/>
      <c r="HM56" s="26"/>
      <c r="HN56" s="26"/>
      <c r="HO56" s="26"/>
      <c r="HP56" s="26"/>
      <c r="HQ56" s="26"/>
      <c r="HR56" s="26"/>
      <c r="HS56" s="26"/>
      <c r="HT56" s="26"/>
      <c r="HU56" s="26"/>
      <c r="HV56" s="26"/>
      <c r="HW56" s="26"/>
      <c r="HX56" s="26"/>
      <c r="HY56" s="26"/>
      <c r="HZ56" s="26"/>
      <c r="IA56" s="26"/>
      <c r="IB56" s="26"/>
      <c r="IC56" s="26"/>
      <c r="ID56" s="26"/>
      <c r="IE56" s="26"/>
      <c r="IF56" s="26"/>
      <c r="IG56" s="26"/>
      <c r="IH56" s="26"/>
      <c r="II56" s="26"/>
      <c r="IJ56" s="26"/>
      <c r="IK56" s="26"/>
      <c r="IL56" s="26"/>
      <c r="IM56" s="26"/>
      <c r="IN56" s="26"/>
      <c r="IO56" s="26"/>
      <c r="IP56" s="26"/>
      <c r="IQ56" s="26"/>
      <c r="IR56" s="26"/>
      <c r="IS56" s="26"/>
      <c r="IT56" s="26"/>
      <c r="IU56" s="26"/>
      <c r="IV56"/>
    </row>
    <row r="57" spans="1:256" s="23" customFormat="1" ht="52.8">
      <c r="A57" s="66"/>
      <c r="B57" s="36"/>
      <c r="C57" s="36"/>
      <c r="D57" s="49" t="s">
        <v>301</v>
      </c>
      <c r="E57" s="48">
        <v>2</v>
      </c>
      <c r="F57" s="140" t="s">
        <v>457</v>
      </c>
      <c r="G57" s="49"/>
      <c r="H57" s="52" t="s">
        <v>436</v>
      </c>
      <c r="J57" s="28"/>
      <c r="K57" s="28"/>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c r="FI57" s="26"/>
      <c r="FJ57" s="26"/>
      <c r="FK57" s="26"/>
      <c r="FL57" s="26"/>
      <c r="FM57" s="26"/>
      <c r="FN57" s="26"/>
      <c r="FO57" s="26"/>
      <c r="FP57" s="26"/>
      <c r="FQ57" s="26"/>
      <c r="FR57" s="26"/>
      <c r="FS57" s="26"/>
      <c r="FT57" s="26"/>
      <c r="FU57" s="26"/>
      <c r="FV57" s="26"/>
      <c r="FW57" s="26"/>
      <c r="FX57" s="26"/>
      <c r="FY57" s="26"/>
      <c r="FZ57" s="26"/>
      <c r="GA57" s="26"/>
      <c r="GB57" s="26"/>
      <c r="GC57" s="26"/>
      <c r="GD57" s="26"/>
      <c r="GE57" s="26"/>
      <c r="GF57" s="26"/>
      <c r="GG57" s="26"/>
      <c r="GH57" s="26"/>
      <c r="GI57" s="26"/>
      <c r="GJ57" s="26"/>
      <c r="GK57" s="26"/>
      <c r="GL57" s="26"/>
      <c r="GM57" s="26"/>
      <c r="GN57" s="26"/>
      <c r="GO57" s="26"/>
      <c r="GP57" s="26"/>
      <c r="GQ57" s="26"/>
      <c r="GR57" s="26"/>
      <c r="GS57" s="26"/>
      <c r="GT57" s="26"/>
      <c r="GU57" s="26"/>
      <c r="GV57" s="26"/>
      <c r="GW57" s="26"/>
      <c r="GX57" s="26"/>
      <c r="GY57" s="26"/>
      <c r="GZ57" s="26"/>
      <c r="HA57" s="26"/>
      <c r="HB57" s="26"/>
      <c r="HC57" s="26"/>
      <c r="HD57" s="26"/>
      <c r="HE57" s="26"/>
      <c r="HF57" s="26"/>
      <c r="HG57" s="26"/>
      <c r="HH57" s="26"/>
      <c r="HI57" s="26"/>
      <c r="HJ57" s="26"/>
      <c r="HK57" s="26"/>
      <c r="HL57" s="26"/>
      <c r="HM57" s="26"/>
      <c r="HN57" s="26"/>
      <c r="HO57" s="26"/>
      <c r="HP57" s="26"/>
      <c r="HQ57" s="26"/>
      <c r="HR57" s="26"/>
      <c r="HS57" s="26"/>
      <c r="HT57" s="26"/>
      <c r="HU57" s="26"/>
      <c r="HV57" s="26"/>
      <c r="HW57" s="26"/>
      <c r="HX57" s="26"/>
      <c r="HY57" s="26"/>
      <c r="HZ57" s="26"/>
      <c r="IA57" s="26"/>
      <c r="IB57" s="26"/>
      <c r="IC57" s="26"/>
      <c r="ID57" s="26"/>
      <c r="IE57" s="26"/>
      <c r="IF57" s="26"/>
      <c r="IG57" s="26"/>
      <c r="IH57" s="26"/>
      <c r="II57" s="26"/>
      <c r="IJ57" s="26"/>
      <c r="IK57" s="26"/>
      <c r="IL57" s="26"/>
      <c r="IM57" s="26"/>
      <c r="IN57" s="26"/>
      <c r="IO57" s="26"/>
      <c r="IP57" s="26"/>
      <c r="IQ57" s="26"/>
      <c r="IR57" s="26"/>
      <c r="IS57" s="26"/>
      <c r="IT57" s="26"/>
      <c r="IU57" s="26"/>
      <c r="IV57"/>
    </row>
    <row r="58" spans="1:256" s="23" customFormat="1" ht="118.8">
      <c r="A58" s="66"/>
      <c r="B58" s="36"/>
      <c r="C58" s="36"/>
      <c r="D58" s="49" t="s">
        <v>302</v>
      </c>
      <c r="E58" s="48">
        <v>2</v>
      </c>
      <c r="F58" s="140" t="s">
        <v>457</v>
      </c>
      <c r="G58" s="49"/>
      <c r="H58" s="141" t="s">
        <v>459</v>
      </c>
      <c r="J58" s="28"/>
      <c r="K58" s="28"/>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c r="FI58" s="26"/>
      <c r="FJ58" s="26"/>
      <c r="FK58" s="26"/>
      <c r="FL58" s="26"/>
      <c r="FM58" s="26"/>
      <c r="FN58" s="26"/>
      <c r="FO58" s="26"/>
      <c r="FP58" s="26"/>
      <c r="FQ58" s="26"/>
      <c r="FR58" s="26"/>
      <c r="FS58" s="26"/>
      <c r="FT58" s="26"/>
      <c r="FU58" s="26"/>
      <c r="FV58" s="26"/>
      <c r="FW58" s="26"/>
      <c r="FX58" s="26"/>
      <c r="FY58" s="26"/>
      <c r="FZ58" s="26"/>
      <c r="GA58" s="26"/>
      <c r="GB58" s="26"/>
      <c r="GC58" s="26"/>
      <c r="GD58" s="26"/>
      <c r="GE58" s="26"/>
      <c r="GF58" s="26"/>
      <c r="GG58" s="26"/>
      <c r="GH58" s="26"/>
      <c r="GI58" s="26"/>
      <c r="GJ58" s="26"/>
      <c r="GK58" s="26"/>
      <c r="GL58" s="26"/>
      <c r="GM58" s="26"/>
      <c r="GN58" s="26"/>
      <c r="GO58" s="26"/>
      <c r="GP58" s="26"/>
      <c r="GQ58" s="26"/>
      <c r="GR58" s="26"/>
      <c r="GS58" s="26"/>
      <c r="GT58" s="26"/>
      <c r="GU58" s="26"/>
      <c r="GV58" s="26"/>
      <c r="GW58" s="26"/>
      <c r="GX58" s="26"/>
      <c r="GY58" s="26"/>
      <c r="GZ58" s="26"/>
      <c r="HA58" s="26"/>
      <c r="HB58" s="26"/>
      <c r="HC58" s="26"/>
      <c r="HD58" s="26"/>
      <c r="HE58" s="26"/>
      <c r="HF58" s="26"/>
      <c r="HG58" s="26"/>
      <c r="HH58" s="26"/>
      <c r="HI58" s="26"/>
      <c r="HJ58" s="26"/>
      <c r="HK58" s="26"/>
      <c r="HL58" s="26"/>
      <c r="HM58" s="26"/>
      <c r="HN58" s="26"/>
      <c r="HO58" s="26"/>
      <c r="HP58" s="26"/>
      <c r="HQ58" s="26"/>
      <c r="HR58" s="26"/>
      <c r="HS58" s="26"/>
      <c r="HT58" s="26"/>
      <c r="HU58" s="26"/>
      <c r="HV58" s="26"/>
      <c r="HW58" s="26"/>
      <c r="HX58" s="26"/>
      <c r="HY58" s="26"/>
      <c r="HZ58" s="26"/>
      <c r="IA58" s="26"/>
      <c r="IB58" s="26"/>
      <c r="IC58" s="26"/>
      <c r="ID58" s="26"/>
      <c r="IE58" s="26"/>
      <c r="IF58" s="26"/>
      <c r="IG58" s="26"/>
      <c r="IH58" s="26"/>
      <c r="II58" s="26"/>
      <c r="IJ58" s="26"/>
      <c r="IK58" s="26"/>
      <c r="IL58" s="26"/>
      <c r="IM58" s="26"/>
      <c r="IN58" s="26"/>
      <c r="IO58" s="26"/>
      <c r="IP58" s="26"/>
      <c r="IQ58" s="26"/>
      <c r="IR58" s="26"/>
      <c r="IS58" s="26"/>
      <c r="IT58" s="26"/>
      <c r="IU58" s="26"/>
      <c r="IV58"/>
    </row>
    <row r="59" spans="1:256" s="23" customFormat="1" ht="158.4">
      <c r="A59" s="66"/>
      <c r="B59" s="36"/>
      <c r="C59" s="36"/>
      <c r="D59" s="49" t="s">
        <v>303</v>
      </c>
      <c r="E59" s="48">
        <v>2</v>
      </c>
      <c r="F59" s="140" t="s">
        <v>458</v>
      </c>
      <c r="G59" s="49"/>
      <c r="H59" s="141" t="s">
        <v>459</v>
      </c>
      <c r="J59" s="28"/>
      <c r="K59" s="28"/>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c r="FI59" s="26"/>
      <c r="FJ59" s="26"/>
      <c r="FK59" s="26"/>
      <c r="FL59" s="26"/>
      <c r="FM59" s="26"/>
      <c r="FN59" s="26"/>
      <c r="FO59" s="26"/>
      <c r="FP59" s="26"/>
      <c r="FQ59" s="26"/>
      <c r="FR59" s="26"/>
      <c r="FS59" s="26"/>
      <c r="FT59" s="26"/>
      <c r="FU59" s="26"/>
      <c r="FV59" s="26"/>
      <c r="FW59" s="26"/>
      <c r="FX59" s="26"/>
      <c r="FY59" s="26"/>
      <c r="FZ59" s="26"/>
      <c r="GA59" s="26"/>
      <c r="GB59" s="26"/>
      <c r="GC59" s="26"/>
      <c r="GD59" s="26"/>
      <c r="GE59" s="26"/>
      <c r="GF59" s="26"/>
      <c r="GG59" s="26"/>
      <c r="GH59" s="26"/>
      <c r="GI59" s="26"/>
      <c r="GJ59" s="26"/>
      <c r="GK59" s="26"/>
      <c r="GL59" s="26"/>
      <c r="GM59" s="26"/>
      <c r="GN59" s="26"/>
      <c r="GO59" s="26"/>
      <c r="GP59" s="26"/>
      <c r="GQ59" s="26"/>
      <c r="GR59" s="26"/>
      <c r="GS59" s="26"/>
      <c r="GT59" s="26"/>
      <c r="GU59" s="26"/>
      <c r="GV59" s="26"/>
      <c r="GW59" s="26"/>
      <c r="GX59" s="26"/>
      <c r="GY59" s="26"/>
      <c r="GZ59" s="26"/>
      <c r="HA59" s="26"/>
      <c r="HB59" s="26"/>
      <c r="HC59" s="26"/>
      <c r="HD59" s="26"/>
      <c r="HE59" s="26"/>
      <c r="HF59" s="26"/>
      <c r="HG59" s="26"/>
      <c r="HH59" s="26"/>
      <c r="HI59" s="26"/>
      <c r="HJ59" s="26"/>
      <c r="HK59" s="26"/>
      <c r="HL59" s="26"/>
      <c r="HM59" s="26"/>
      <c r="HN59" s="26"/>
      <c r="HO59" s="26"/>
      <c r="HP59" s="26"/>
      <c r="HQ59" s="26"/>
      <c r="HR59" s="26"/>
      <c r="HS59" s="26"/>
      <c r="HT59" s="26"/>
      <c r="HU59" s="26"/>
      <c r="HV59" s="26"/>
      <c r="HW59" s="26"/>
      <c r="HX59" s="26"/>
      <c r="HY59" s="26"/>
      <c r="HZ59" s="26"/>
      <c r="IA59" s="26"/>
      <c r="IB59" s="26"/>
      <c r="IC59" s="26"/>
      <c r="ID59" s="26"/>
      <c r="IE59" s="26"/>
      <c r="IF59" s="26"/>
      <c r="IG59" s="26"/>
      <c r="IH59" s="26"/>
      <c r="II59" s="26"/>
      <c r="IJ59" s="26"/>
      <c r="IK59" s="26"/>
      <c r="IL59" s="26"/>
      <c r="IM59" s="26"/>
      <c r="IN59" s="26"/>
      <c r="IO59" s="26"/>
      <c r="IP59" s="26"/>
      <c r="IQ59" s="26"/>
      <c r="IR59" s="26"/>
      <c r="IS59" s="26"/>
      <c r="IT59" s="26"/>
      <c r="IU59" s="26"/>
      <c r="IV59"/>
    </row>
    <row r="61" spans="1:256" ht="16.5" customHeight="1">
      <c r="D61" s="39" t="s">
        <v>128</v>
      </c>
      <c r="E61" s="55">
        <f>SUM(E4:E59)/56</f>
        <v>2.0178571428571428</v>
      </c>
    </row>
    <row r="62" spans="1:256" ht="16.5" customHeight="1">
      <c r="D62" s="39" t="s">
        <v>129</v>
      </c>
      <c r="E62" s="56" t="str">
        <f>IF(E61&lt;=1,("Strong"),IF(E61&lt;=2,("Satisfactory"),IF(E61&lt;=3,("Fair"),IF(E61&lt;=4,("Marginal"),"Unsatisfactory"))))</f>
        <v>Fair</v>
      </c>
    </row>
    <row r="66" spans="4:5" ht="16.5" customHeight="1">
      <c r="D66" s="216" t="s">
        <v>304</v>
      </c>
      <c r="E66" s="217"/>
    </row>
    <row r="67" spans="4:5" ht="16.5" customHeight="1">
      <c r="D67" s="57" t="s">
        <v>305</v>
      </c>
      <c r="E67" s="58">
        <v>1</v>
      </c>
    </row>
    <row r="68" spans="4:5" ht="16.5" customHeight="1">
      <c r="D68" s="59" t="s">
        <v>306</v>
      </c>
      <c r="E68" s="60">
        <v>2</v>
      </c>
    </row>
    <row r="69" spans="4:5" ht="16.5" customHeight="1">
      <c r="D69" s="61" t="s">
        <v>307</v>
      </c>
      <c r="E69" s="60">
        <v>3</v>
      </c>
    </row>
    <row r="70" spans="4:5" ht="16.5" customHeight="1">
      <c r="D70" s="59" t="s">
        <v>308</v>
      </c>
      <c r="E70" s="62">
        <v>4</v>
      </c>
    </row>
    <row r="71" spans="4:5" ht="16.5" customHeight="1">
      <c r="D71" s="63" t="s">
        <v>309</v>
      </c>
      <c r="E71" s="64">
        <v>5</v>
      </c>
    </row>
  </sheetData>
  <mergeCells count="1">
    <mergeCell ref="D66:E66"/>
  </mergeCells>
  <pageMargins left="0.98425196850393704" right="0.59055118110236227" top="0.59055118110236227" bottom="0.39370078740157483" header="0.51181102362204722" footer="0.51181102362204722"/>
  <pageSetup paperSize="9" scale="73"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6B7DD-ADE4-4120-BB64-FCD29D453137}">
  <sheetPr>
    <tabColor indexed="22"/>
  </sheetPr>
  <dimension ref="A1:IT43"/>
  <sheetViews>
    <sheetView showGridLines="0" view="pageBreakPreview" zoomScale="83" zoomScaleNormal="100" zoomScaleSheetLayoutView="115" workbookViewId="0">
      <selection activeCell="F4" sqref="F4"/>
    </sheetView>
  </sheetViews>
  <sheetFormatPr defaultRowHeight="16.5" customHeight="1"/>
  <cols>
    <col min="1" max="1" width="5" style="40" customWidth="1"/>
    <col min="2" max="2" width="25.33203125" style="26" customWidth="1"/>
    <col min="3" max="3" width="45.88671875" style="27" customWidth="1"/>
    <col min="4" max="4" width="13.44140625" style="26" customWidth="1"/>
    <col min="5" max="5" width="24" style="54" customWidth="1"/>
    <col min="6" max="6" width="15" style="26" customWidth="1"/>
    <col min="7" max="7" width="29" style="41" customWidth="1"/>
    <col min="8" max="8" width="4.109375" style="23" customWidth="1"/>
    <col min="9" max="10" width="28.5546875" style="28" customWidth="1"/>
    <col min="11" max="254" width="9.109375" style="26" customWidth="1"/>
  </cols>
  <sheetData>
    <row r="1" spans="1:10" ht="16.5" customHeight="1">
      <c r="A1" s="42" t="s">
        <v>310</v>
      </c>
    </row>
    <row r="2" spans="1:10" s="23" customFormat="1" ht="13.2">
      <c r="A2" s="41"/>
      <c r="C2" s="30"/>
      <c r="E2" s="137"/>
      <c r="G2" s="41"/>
      <c r="I2" s="28"/>
      <c r="J2" s="28"/>
    </row>
    <row r="3" spans="1:10" s="24" customFormat="1" ht="39" customHeight="1">
      <c r="A3" s="43" t="s">
        <v>226</v>
      </c>
      <c r="B3" s="43" t="s">
        <v>227</v>
      </c>
      <c r="C3" s="44" t="s">
        <v>229</v>
      </c>
      <c r="D3" s="43" t="s">
        <v>230</v>
      </c>
      <c r="E3" s="138" t="s">
        <v>52</v>
      </c>
      <c r="F3" s="43" t="s">
        <v>231</v>
      </c>
      <c r="G3" s="43" t="s">
        <v>232</v>
      </c>
      <c r="H3" s="33"/>
      <c r="I3" s="34"/>
      <c r="J3" s="34"/>
    </row>
    <row r="4" spans="1:10" s="25" customFormat="1" ht="69" customHeight="1">
      <c r="A4" s="45">
        <v>1</v>
      </c>
      <c r="B4" s="46" t="s">
        <v>311</v>
      </c>
      <c r="C4" s="47" t="s">
        <v>312</v>
      </c>
      <c r="D4" s="48">
        <v>2</v>
      </c>
      <c r="E4" s="47" t="s">
        <v>427</v>
      </c>
      <c r="F4" s="145" t="s">
        <v>483</v>
      </c>
      <c r="G4" s="50" t="s">
        <v>414</v>
      </c>
      <c r="H4" s="37"/>
      <c r="I4" s="38"/>
      <c r="J4" s="38"/>
    </row>
    <row r="5" spans="1:10" ht="92.4">
      <c r="A5" s="45"/>
      <c r="B5" s="46"/>
      <c r="C5" s="47" t="s">
        <v>313</v>
      </c>
      <c r="D5" s="48">
        <v>2</v>
      </c>
      <c r="E5" s="184" t="s">
        <v>437</v>
      </c>
      <c r="F5" s="51"/>
      <c r="G5" s="52" t="s">
        <v>410</v>
      </c>
    </row>
    <row r="6" spans="1:10" ht="145.19999999999999">
      <c r="A6" s="45"/>
      <c r="B6" s="46"/>
      <c r="C6" s="47" t="s">
        <v>314</v>
      </c>
      <c r="D6" s="48">
        <v>2</v>
      </c>
      <c r="E6" s="185" t="s">
        <v>484</v>
      </c>
      <c r="F6" s="51"/>
      <c r="G6" s="52" t="s">
        <v>410</v>
      </c>
    </row>
    <row r="7" spans="1:10" ht="156.9" customHeight="1">
      <c r="A7" s="45">
        <v>2</v>
      </c>
      <c r="B7" s="46" t="s">
        <v>315</v>
      </c>
      <c r="C7" s="36" t="s">
        <v>316</v>
      </c>
      <c r="D7" s="48">
        <v>2</v>
      </c>
      <c r="E7" s="184" t="s">
        <v>438</v>
      </c>
      <c r="F7" s="51"/>
      <c r="G7" s="52" t="s">
        <v>412</v>
      </c>
    </row>
    <row r="8" spans="1:10" ht="174" customHeight="1">
      <c r="A8" s="45"/>
      <c r="B8" s="46"/>
      <c r="C8" s="47" t="s">
        <v>317</v>
      </c>
      <c r="D8" s="48">
        <v>2</v>
      </c>
      <c r="E8" s="184" t="s">
        <v>439</v>
      </c>
      <c r="F8" s="51"/>
      <c r="G8" s="52" t="s">
        <v>414</v>
      </c>
    </row>
    <row r="9" spans="1:10" ht="171.6">
      <c r="A9" s="45"/>
      <c r="B9" s="46"/>
      <c r="C9" s="47" t="s">
        <v>318</v>
      </c>
      <c r="D9" s="48">
        <v>2</v>
      </c>
      <c r="E9" s="184" t="s">
        <v>438</v>
      </c>
      <c r="F9" s="51"/>
      <c r="G9" s="52" t="s">
        <v>414</v>
      </c>
    </row>
    <row r="10" spans="1:10" ht="66">
      <c r="A10" s="45"/>
      <c r="B10" s="46"/>
      <c r="C10" s="47" t="s">
        <v>319</v>
      </c>
      <c r="D10" s="48">
        <v>1</v>
      </c>
      <c r="E10" s="184" t="s">
        <v>413</v>
      </c>
      <c r="F10" s="51"/>
      <c r="G10" s="52" t="s">
        <v>414</v>
      </c>
    </row>
    <row r="11" spans="1:10" ht="126.6" customHeight="1">
      <c r="A11" s="45"/>
      <c r="B11" s="46"/>
      <c r="C11" s="47" t="s">
        <v>320</v>
      </c>
      <c r="D11" s="48">
        <v>2</v>
      </c>
      <c r="E11" s="47" t="s">
        <v>415</v>
      </c>
      <c r="F11" s="51"/>
      <c r="G11" s="52" t="s">
        <v>414</v>
      </c>
    </row>
    <row r="12" spans="1:10" ht="66">
      <c r="A12" s="45"/>
      <c r="B12" s="46"/>
      <c r="C12" s="47" t="s">
        <v>321</v>
      </c>
      <c r="D12" s="48">
        <v>2</v>
      </c>
      <c r="E12" s="47" t="s">
        <v>416</v>
      </c>
      <c r="F12" s="51"/>
      <c r="G12" s="52" t="s">
        <v>414</v>
      </c>
    </row>
    <row r="13" spans="1:10" ht="80.400000000000006" customHeight="1">
      <c r="A13" s="45"/>
      <c r="B13" s="46"/>
      <c r="C13" s="47" t="s">
        <v>322</v>
      </c>
      <c r="D13" s="48">
        <v>2</v>
      </c>
      <c r="E13" s="47" t="s">
        <v>417</v>
      </c>
      <c r="F13" s="51"/>
      <c r="G13" s="52" t="s">
        <v>414</v>
      </c>
    </row>
    <row r="14" spans="1:10" ht="77.099999999999994" customHeight="1">
      <c r="A14" s="45"/>
      <c r="B14" s="46"/>
      <c r="C14" s="47" t="s">
        <v>323</v>
      </c>
      <c r="D14" s="48">
        <v>1</v>
      </c>
      <c r="E14" s="47" t="s">
        <v>418</v>
      </c>
      <c r="F14" s="51"/>
      <c r="G14" s="52" t="s">
        <v>414</v>
      </c>
    </row>
    <row r="15" spans="1:10" ht="39.6">
      <c r="A15" s="45"/>
      <c r="B15" s="46"/>
      <c r="C15" s="47" t="s">
        <v>324</v>
      </c>
      <c r="D15" s="48">
        <v>2</v>
      </c>
      <c r="E15" s="47" t="s">
        <v>419</v>
      </c>
      <c r="F15" s="51"/>
      <c r="G15" s="52" t="s">
        <v>414</v>
      </c>
    </row>
    <row r="16" spans="1:10" ht="66">
      <c r="A16" s="45"/>
      <c r="B16" s="46"/>
      <c r="C16" s="47" t="s">
        <v>325</v>
      </c>
      <c r="D16" s="48">
        <v>3</v>
      </c>
      <c r="E16" s="47" t="s">
        <v>420</v>
      </c>
      <c r="F16" s="51"/>
      <c r="G16" s="52" t="s">
        <v>414</v>
      </c>
    </row>
    <row r="17" spans="1:7" ht="143.4" customHeight="1">
      <c r="A17" s="45">
        <v>3</v>
      </c>
      <c r="B17" s="46" t="s">
        <v>326</v>
      </c>
      <c r="C17" s="47" t="s">
        <v>327</v>
      </c>
      <c r="D17" s="48">
        <v>2</v>
      </c>
      <c r="E17" s="184" t="s">
        <v>440</v>
      </c>
      <c r="F17" s="51"/>
      <c r="G17" s="52" t="s">
        <v>414</v>
      </c>
    </row>
    <row r="18" spans="1:7" ht="168" customHeight="1">
      <c r="A18" s="45"/>
      <c r="B18" s="46"/>
      <c r="C18" s="47" t="s">
        <v>328</v>
      </c>
      <c r="D18" s="48">
        <v>2</v>
      </c>
      <c r="E18" s="184" t="s">
        <v>441</v>
      </c>
      <c r="F18" s="51"/>
      <c r="G18" s="52" t="s">
        <v>414</v>
      </c>
    </row>
    <row r="19" spans="1:7" ht="166.5" customHeight="1">
      <c r="A19" s="45"/>
      <c r="B19" s="46"/>
      <c r="C19" s="47" t="s">
        <v>329</v>
      </c>
      <c r="D19" s="48">
        <v>2</v>
      </c>
      <c r="E19" s="184" t="s">
        <v>441</v>
      </c>
      <c r="F19" s="51"/>
      <c r="G19" s="52" t="s">
        <v>414</v>
      </c>
    </row>
    <row r="20" spans="1:7" ht="79.2">
      <c r="A20" s="45"/>
      <c r="B20" s="46"/>
      <c r="C20" s="47" t="s">
        <v>330</v>
      </c>
      <c r="D20" s="48">
        <v>2</v>
      </c>
      <c r="E20" s="184" t="s">
        <v>411</v>
      </c>
      <c r="F20" s="51"/>
      <c r="G20" s="52" t="s">
        <v>410</v>
      </c>
    </row>
    <row r="21" spans="1:7" ht="66">
      <c r="A21" s="45"/>
      <c r="B21" s="46"/>
      <c r="C21" s="47" t="s">
        <v>331</v>
      </c>
      <c r="D21" s="48">
        <v>2</v>
      </c>
      <c r="E21" s="47" t="s">
        <v>421</v>
      </c>
      <c r="F21" s="51"/>
      <c r="G21" s="52" t="s">
        <v>410</v>
      </c>
    </row>
    <row r="22" spans="1:7" ht="79.2">
      <c r="A22" s="45">
        <v>4</v>
      </c>
      <c r="B22" s="46" t="s">
        <v>332</v>
      </c>
      <c r="C22" s="47" t="s">
        <v>333</v>
      </c>
      <c r="D22" s="48">
        <v>2</v>
      </c>
      <c r="E22" s="47" t="s">
        <v>422</v>
      </c>
      <c r="F22" s="51"/>
      <c r="G22" s="52" t="s">
        <v>410</v>
      </c>
    </row>
    <row r="23" spans="1:7" ht="118.8">
      <c r="A23" s="45"/>
      <c r="B23" s="46"/>
      <c r="C23" s="47" t="s">
        <v>334</v>
      </c>
      <c r="D23" s="48">
        <v>1</v>
      </c>
      <c r="E23" s="147" t="s">
        <v>485</v>
      </c>
      <c r="F23" s="148" t="s">
        <v>486</v>
      </c>
      <c r="G23" s="52" t="s">
        <v>410</v>
      </c>
    </row>
    <row r="24" spans="1:7" ht="52.8">
      <c r="A24" s="45"/>
      <c r="B24" s="46"/>
      <c r="C24" s="47" t="s">
        <v>335</v>
      </c>
      <c r="D24" s="48">
        <v>2</v>
      </c>
      <c r="E24" s="47" t="s">
        <v>423</v>
      </c>
      <c r="F24" s="51"/>
      <c r="G24" s="52" t="s">
        <v>410</v>
      </c>
    </row>
    <row r="25" spans="1:7" ht="39.6">
      <c r="A25" s="45"/>
      <c r="B25" s="46"/>
      <c r="C25" s="47" t="s">
        <v>336</v>
      </c>
      <c r="D25" s="48">
        <v>2</v>
      </c>
      <c r="E25" s="47" t="s">
        <v>424</v>
      </c>
      <c r="F25" s="51"/>
      <c r="G25" s="52" t="s">
        <v>410</v>
      </c>
    </row>
    <row r="26" spans="1:7" ht="39.6">
      <c r="A26" s="45"/>
      <c r="B26" s="46"/>
      <c r="C26" s="47" t="s">
        <v>337</v>
      </c>
      <c r="D26" s="48">
        <v>2</v>
      </c>
      <c r="E26" s="47" t="s">
        <v>425</v>
      </c>
      <c r="F26" s="51"/>
      <c r="G26" s="52" t="s">
        <v>410</v>
      </c>
    </row>
    <row r="27" spans="1:7" ht="66">
      <c r="A27" s="45"/>
      <c r="B27" s="46"/>
      <c r="C27" s="36" t="s">
        <v>338</v>
      </c>
      <c r="D27" s="48">
        <v>2</v>
      </c>
      <c r="E27" s="47" t="s">
        <v>426</v>
      </c>
      <c r="F27" s="51"/>
      <c r="G27" s="52" t="s">
        <v>410</v>
      </c>
    </row>
    <row r="28" spans="1:7" ht="16.5" customHeight="1">
      <c r="A28" s="53"/>
      <c r="B28" s="54"/>
    </row>
    <row r="29" spans="1:7" ht="16.5" customHeight="1">
      <c r="A29" s="53"/>
      <c r="B29" s="54"/>
      <c r="C29" s="39" t="s">
        <v>128</v>
      </c>
      <c r="D29" s="55">
        <f>SUM(D4:D27)/24</f>
        <v>1.9166666666666667</v>
      </c>
    </row>
    <row r="30" spans="1:7" ht="16.5" customHeight="1">
      <c r="A30" s="53"/>
      <c r="B30" s="54"/>
      <c r="C30" s="39" t="s">
        <v>129</v>
      </c>
      <c r="D30" s="56" t="str">
        <f>IF(D29&lt;=1,("Strong"),IF(D29&lt;=2,("Satisfactory"),IF(D29&lt;=3,("Fair"),IF(D29&lt;=4,("Marginal"),"Unsatisfactory"))))</f>
        <v>Satisfactory</v>
      </c>
    </row>
    <row r="31" spans="1:7" ht="16.5" customHeight="1">
      <c r="A31" s="53"/>
      <c r="B31" s="54"/>
      <c r="C31" s="26"/>
    </row>
    <row r="32" spans="1:7" ht="16.5" customHeight="1">
      <c r="A32" s="53"/>
      <c r="B32" s="54"/>
      <c r="C32" s="26"/>
    </row>
    <row r="33" spans="1:4" ht="16.5" customHeight="1">
      <c r="A33" s="53"/>
      <c r="B33" s="54"/>
      <c r="C33" s="26"/>
    </row>
    <row r="34" spans="1:4" ht="16.5" customHeight="1">
      <c r="A34" s="53"/>
      <c r="B34" s="54"/>
      <c r="C34" s="216" t="s">
        <v>304</v>
      </c>
      <c r="D34" s="217"/>
    </row>
    <row r="35" spans="1:4" ht="16.5" customHeight="1">
      <c r="A35" s="53"/>
      <c r="B35" s="54"/>
      <c r="C35" s="57" t="s">
        <v>305</v>
      </c>
      <c r="D35" s="58">
        <v>1</v>
      </c>
    </row>
    <row r="36" spans="1:4" ht="16.5" customHeight="1">
      <c r="A36" s="53"/>
      <c r="B36" s="54"/>
      <c r="C36" s="59" t="s">
        <v>306</v>
      </c>
      <c r="D36" s="60">
        <v>2</v>
      </c>
    </row>
    <row r="37" spans="1:4" ht="16.5" customHeight="1">
      <c r="A37" s="53"/>
      <c r="B37" s="54"/>
      <c r="C37" s="61" t="s">
        <v>307</v>
      </c>
      <c r="D37" s="60">
        <v>3</v>
      </c>
    </row>
    <row r="38" spans="1:4" ht="16.5" customHeight="1">
      <c r="A38" s="53"/>
      <c r="B38" s="54"/>
      <c r="C38" s="59" t="s">
        <v>308</v>
      </c>
      <c r="D38" s="62">
        <v>4</v>
      </c>
    </row>
    <row r="39" spans="1:4" ht="16.5" customHeight="1">
      <c r="A39" s="53"/>
      <c r="B39" s="54"/>
      <c r="C39" s="63" t="s">
        <v>309</v>
      </c>
      <c r="D39" s="64">
        <v>5</v>
      </c>
    </row>
    <row r="40" spans="1:4" ht="16.5" customHeight="1">
      <c r="A40" s="53"/>
      <c r="B40" s="54"/>
    </row>
    <row r="41" spans="1:4" ht="16.5" customHeight="1">
      <c r="A41" s="53"/>
      <c r="B41" s="54"/>
    </row>
    <row r="42" spans="1:4" ht="16.5" customHeight="1">
      <c r="A42" s="53"/>
      <c r="B42" s="54"/>
    </row>
    <row r="43" spans="1:4" ht="16.5" customHeight="1">
      <c r="A43" s="53"/>
      <c r="B43" s="54"/>
    </row>
  </sheetData>
  <mergeCells count="1">
    <mergeCell ref="C34:D34"/>
  </mergeCells>
  <pageMargins left="0.98425196850393704" right="0.59055118110236227" top="0.59055118110236227" bottom="0.39370078740157483" header="0.51181102362204722" footer="0.51181102362204722"/>
  <pageSetup paperSize="9" scale="83"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20CAD-DDBB-40B9-AA4A-E31E9AC22F2F}">
  <sheetPr>
    <tabColor indexed="13"/>
  </sheetPr>
  <dimension ref="A3:IT10"/>
  <sheetViews>
    <sheetView showGridLines="0" view="pageBreakPreview" zoomScaleNormal="100" zoomScaleSheetLayoutView="100" workbookViewId="0">
      <selection activeCell="E6" sqref="E6"/>
    </sheetView>
  </sheetViews>
  <sheetFormatPr defaultRowHeight="13.2"/>
  <cols>
    <col min="1" max="1" width="9.109375" style="1" customWidth="1"/>
    <col min="2" max="2" width="4.88671875" style="1" customWidth="1"/>
    <col min="3" max="3" width="3.88671875" style="1" customWidth="1"/>
    <col min="4" max="4" width="23.88671875" style="1" customWidth="1"/>
    <col min="5" max="5" width="13.44140625" style="1" customWidth="1"/>
    <col min="6" max="6" width="20.33203125" style="1" customWidth="1"/>
    <col min="7" max="7" width="47" style="1" customWidth="1"/>
    <col min="8" max="8" width="22.5546875" style="1" customWidth="1"/>
    <col min="9" max="9" width="14.6640625" style="1" customWidth="1"/>
    <col min="10" max="254" width="9.109375" style="1" customWidth="1"/>
  </cols>
  <sheetData>
    <row r="3" spans="3:9" ht="17.399999999999999">
      <c r="C3" s="218" t="s">
        <v>339</v>
      </c>
      <c r="D3" s="218"/>
      <c r="E3" s="218"/>
      <c r="F3" s="218"/>
      <c r="G3" s="2"/>
      <c r="H3" s="3"/>
      <c r="I3" s="3"/>
    </row>
    <row r="4" spans="3:9">
      <c r="C4" s="219"/>
      <c r="D4" s="219"/>
      <c r="E4" s="220"/>
      <c r="F4" s="220"/>
      <c r="G4" s="2"/>
      <c r="H4" s="4"/>
      <c r="I4" s="4"/>
    </row>
    <row r="5" spans="3:9" ht="27" customHeight="1">
      <c r="C5" s="221" t="s">
        <v>207</v>
      </c>
      <c r="D5" s="222"/>
      <c r="E5" s="165" t="s">
        <v>208</v>
      </c>
      <c r="F5" s="165" t="s">
        <v>209</v>
      </c>
      <c r="G5" s="2"/>
      <c r="H5" s="214" t="s">
        <v>210</v>
      </c>
      <c r="I5" s="215"/>
    </row>
    <row r="6" spans="3:9" ht="19.95" customHeight="1">
      <c r="C6" s="175">
        <v>1</v>
      </c>
      <c r="D6" s="223" t="s">
        <v>340</v>
      </c>
      <c r="E6" s="166">
        <f>KPMR!E61</f>
        <v>2.0178571428571428</v>
      </c>
      <c r="F6" s="167" t="str">
        <f>KPMR!E62</f>
        <v>Fair</v>
      </c>
      <c r="G6" s="2"/>
      <c r="H6" s="133" t="s">
        <v>341</v>
      </c>
      <c r="I6" s="20" t="s">
        <v>213</v>
      </c>
    </row>
    <row r="7" spans="3:9" ht="27" customHeight="1">
      <c r="C7" s="176"/>
      <c r="D7" s="224"/>
      <c r="E7" s="168"/>
      <c r="F7" s="169"/>
      <c r="G7" s="2"/>
      <c r="H7" s="133" t="s">
        <v>342</v>
      </c>
      <c r="I7" s="21" t="s">
        <v>216</v>
      </c>
    </row>
    <row r="8" spans="3:9" ht="19.95" customHeight="1">
      <c r="C8" s="177">
        <v>2</v>
      </c>
      <c r="D8" s="224" t="s">
        <v>343</v>
      </c>
      <c r="E8" s="170">
        <f>'Kualitas Ketahanan'!D29</f>
        <v>1.9166666666666667</v>
      </c>
      <c r="F8" s="171" t="str">
        <f>'Kualitas Ketahanan'!D30</f>
        <v>Satisfactory</v>
      </c>
      <c r="G8" s="2"/>
      <c r="H8" s="133" t="s">
        <v>344</v>
      </c>
      <c r="I8" s="21" t="s">
        <v>219</v>
      </c>
    </row>
    <row r="9" spans="3:9" ht="19.95" customHeight="1">
      <c r="C9" s="178"/>
      <c r="D9" s="225"/>
      <c r="E9" s="168"/>
      <c r="F9" s="169"/>
      <c r="G9" s="2"/>
      <c r="H9" s="133" t="s">
        <v>345</v>
      </c>
      <c r="I9" s="21" t="s">
        <v>222</v>
      </c>
    </row>
    <row r="10" spans="3:9" ht="19.95" customHeight="1">
      <c r="C10" s="164"/>
      <c r="D10" s="172"/>
      <c r="E10" s="173">
        <f>(E6+E8)/2</f>
        <v>1.9672619047619047</v>
      </c>
      <c r="F10" s="174" t="str">
        <f>IF(E10&lt;=1,("Tingkat 1"),IF(E10&lt;=2,("Tingkat 2"),IF(E10&lt;=3,("Tingkat 3"),IF(E10&lt;=4,("Tingkat 4"),"Tingkat 5"))))</f>
        <v>Tingkat 2</v>
      </c>
      <c r="G10" s="2"/>
      <c r="H10" s="134" t="s">
        <v>346</v>
      </c>
      <c r="I10" s="22" t="s">
        <v>224</v>
      </c>
    </row>
  </sheetData>
  <mergeCells count="6">
    <mergeCell ref="C3:F3"/>
    <mergeCell ref="C4:F4"/>
    <mergeCell ref="C5:D5"/>
    <mergeCell ref="H5:I5"/>
    <mergeCell ref="D6:D7"/>
    <mergeCell ref="D8:D9"/>
  </mergeCells>
  <pageMargins left="0.98425196850393704" right="0.59055118110236227" top="0.59055118110236227" bottom="0.39370078740157483" header="0.51181102362204722" footer="0.51181102362204722"/>
  <pageSetup paperSize="9" scale="83"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2A106-5655-4B44-837C-1F3614E30188}">
  <sheetPr>
    <tabColor indexed="22"/>
  </sheetPr>
  <dimension ref="A1:IO48"/>
  <sheetViews>
    <sheetView showGridLines="0" view="pageBreakPreview" zoomScaleNormal="100" zoomScaleSheetLayoutView="100" workbookViewId="0">
      <selection activeCell="B38" sqref="B38"/>
    </sheetView>
  </sheetViews>
  <sheetFormatPr defaultRowHeight="16.5" customHeight="1"/>
  <cols>
    <col min="1" max="1" width="28.6640625" style="26" customWidth="1"/>
    <col min="2" max="2" width="108.44140625" style="27" customWidth="1"/>
    <col min="3" max="3" width="4.109375" style="23" customWidth="1"/>
    <col min="4" max="4" width="23.88671875" style="28" customWidth="1"/>
    <col min="5" max="5" width="28.5546875" style="28" customWidth="1"/>
    <col min="6" max="6" width="9.109375" style="26" customWidth="1"/>
    <col min="7" max="7" width="47" style="26" customWidth="1"/>
    <col min="8" max="249" width="9.109375" style="26" customWidth="1"/>
  </cols>
  <sheetData>
    <row r="1" spans="1:5" ht="16.5" customHeight="1">
      <c r="A1" s="29" t="s">
        <v>359</v>
      </c>
    </row>
    <row r="2" spans="1:5" s="23" customFormat="1" ht="16.5" customHeight="1">
      <c r="B2" s="30"/>
      <c r="D2" s="28"/>
      <c r="E2" s="28"/>
    </row>
    <row r="3" spans="1:5" s="24" customFormat="1" ht="37.5" customHeight="1">
      <c r="A3" s="31" t="s">
        <v>129</v>
      </c>
      <c r="B3" s="32" t="s">
        <v>348</v>
      </c>
      <c r="C3" s="33"/>
      <c r="D3" s="34"/>
      <c r="E3" s="34"/>
    </row>
    <row r="4" spans="1:5" s="25" customFormat="1" ht="409.2">
      <c r="A4" s="35" t="s">
        <v>360</v>
      </c>
      <c r="B4" s="36" t="s">
        <v>361</v>
      </c>
      <c r="C4" s="37"/>
      <c r="D4" s="38"/>
      <c r="E4" s="38"/>
    </row>
    <row r="5" spans="1:5" ht="382.5" customHeight="1">
      <c r="A5" s="35" t="s">
        <v>362</v>
      </c>
      <c r="B5" s="36" t="s">
        <v>363</v>
      </c>
    </row>
    <row r="6" spans="1:5" ht="382.5" customHeight="1">
      <c r="A6" s="35" t="s">
        <v>364</v>
      </c>
      <c r="B6" s="36" t="s">
        <v>365</v>
      </c>
    </row>
    <row r="7" spans="1:5" ht="395.25" customHeight="1">
      <c r="A7" s="35" t="s">
        <v>366</v>
      </c>
      <c r="B7" s="36" t="s">
        <v>367</v>
      </c>
    </row>
    <row r="8" spans="1:5" ht="369.75" customHeight="1">
      <c r="A8" s="35" t="s">
        <v>368</v>
      </c>
      <c r="B8" s="36" t="s">
        <v>369</v>
      </c>
    </row>
    <row r="9" spans="1:5" ht="16.5" customHeight="1">
      <c r="A9" s="39"/>
    </row>
    <row r="10" spans="1:5" ht="16.5" customHeight="1">
      <c r="A10" s="39"/>
    </row>
    <row r="11" spans="1:5" ht="16.5" customHeight="1">
      <c r="A11" s="39"/>
    </row>
    <row r="12" spans="1:5" ht="16.5" customHeight="1">
      <c r="A12" s="39"/>
    </row>
    <row r="13" spans="1:5" ht="16.5" customHeight="1">
      <c r="A13" s="39"/>
    </row>
    <row r="14" spans="1:5" ht="16.5" customHeight="1">
      <c r="A14" s="39"/>
    </row>
    <row r="15" spans="1:5" ht="16.5" customHeight="1">
      <c r="A15" s="39"/>
    </row>
    <row r="16" spans="1:5" ht="16.5" customHeight="1">
      <c r="A16" s="39"/>
    </row>
    <row r="17" spans="1:1" ht="16.5" customHeight="1">
      <c r="A17" s="39"/>
    </row>
    <row r="18" spans="1:1" ht="16.5" customHeight="1">
      <c r="A18" s="39"/>
    </row>
    <row r="19" spans="1:1" ht="16.5" customHeight="1">
      <c r="A19" s="39"/>
    </row>
    <row r="20" spans="1:1" ht="16.5" customHeight="1">
      <c r="A20" s="39"/>
    </row>
    <row r="21" spans="1:1" ht="16.5" customHeight="1">
      <c r="A21" s="39"/>
    </row>
    <row r="22" spans="1:1" ht="16.5" customHeight="1">
      <c r="A22" s="39"/>
    </row>
    <row r="23" spans="1:1" ht="16.5" customHeight="1">
      <c r="A23" s="39"/>
    </row>
    <row r="24" spans="1:1" ht="16.5" customHeight="1">
      <c r="A24" s="39"/>
    </row>
    <row r="25" spans="1:1" ht="16.5" customHeight="1">
      <c r="A25" s="39"/>
    </row>
    <row r="26" spans="1:1" ht="16.5" customHeight="1">
      <c r="A26" s="39"/>
    </row>
    <row r="27" spans="1:1" ht="16.5" customHeight="1">
      <c r="A27" s="39"/>
    </row>
    <row r="28" spans="1:1" ht="16.5" customHeight="1">
      <c r="A28" s="39"/>
    </row>
    <row r="29" spans="1:1" ht="16.5" customHeight="1">
      <c r="A29" s="39"/>
    </row>
    <row r="30" spans="1:1" ht="16.5" customHeight="1">
      <c r="A30" s="39"/>
    </row>
    <row r="31" spans="1:1" ht="16.5" customHeight="1">
      <c r="A31" s="39"/>
    </row>
    <row r="32" spans="1:1" ht="16.5" customHeight="1">
      <c r="A32" s="39"/>
    </row>
    <row r="33" spans="1:1" ht="16.5" customHeight="1">
      <c r="A33" s="39"/>
    </row>
    <row r="34" spans="1:1" ht="16.5" customHeight="1">
      <c r="A34" s="39"/>
    </row>
    <row r="35" spans="1:1" ht="16.5" customHeight="1">
      <c r="A35" s="39"/>
    </row>
    <row r="36" spans="1:1" ht="16.5" customHeight="1">
      <c r="A36" s="39"/>
    </row>
    <row r="37" spans="1:1" ht="16.5" customHeight="1">
      <c r="A37" s="39"/>
    </row>
    <row r="38" spans="1:1" ht="16.5" customHeight="1">
      <c r="A38" s="39"/>
    </row>
    <row r="39" spans="1:1" ht="16.5" customHeight="1">
      <c r="A39" s="39"/>
    </row>
    <row r="40" spans="1:1" ht="16.5" customHeight="1">
      <c r="A40" s="39"/>
    </row>
    <row r="41" spans="1:1" ht="16.5" customHeight="1">
      <c r="A41" s="39"/>
    </row>
    <row r="42" spans="1:1" ht="16.5" customHeight="1">
      <c r="A42" s="39"/>
    </row>
    <row r="43" spans="1:1" ht="16.5" customHeight="1">
      <c r="A43" s="39"/>
    </row>
    <row r="44" spans="1:1" ht="16.5" customHeight="1">
      <c r="A44" s="39"/>
    </row>
    <row r="45" spans="1:1" ht="16.5" customHeight="1">
      <c r="A45" s="39"/>
    </row>
    <row r="46" spans="1:1" ht="16.5" customHeight="1">
      <c r="A46" s="39"/>
    </row>
    <row r="47" spans="1:1" ht="16.5" customHeight="1">
      <c r="A47" s="39"/>
    </row>
    <row r="48" spans="1:1" ht="16.5" customHeight="1">
      <c r="A48" s="39"/>
    </row>
  </sheetData>
  <pageMargins left="0.98425196850393704" right="0.59055118110236227" top="0.59055118110236227" bottom="0.39370078740157483" header="0.51181102362204722" footer="0.51181102362204722"/>
  <pageSetup paperSize="9" scale="83"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28CF6-8B99-4E02-A781-2928A7E5E2D6}">
  <sheetPr>
    <tabColor indexed="22"/>
  </sheetPr>
  <dimension ref="A1:IO48"/>
  <sheetViews>
    <sheetView showGridLines="0" view="pageBreakPreview" zoomScaleNormal="100" zoomScaleSheetLayoutView="100" workbookViewId="0">
      <selection activeCell="B38" sqref="B38"/>
    </sheetView>
  </sheetViews>
  <sheetFormatPr defaultRowHeight="16.5" customHeight="1"/>
  <cols>
    <col min="1" max="1" width="28.6640625" style="26" customWidth="1"/>
    <col min="2" max="2" width="108.44140625" style="27" customWidth="1"/>
    <col min="3" max="3" width="4.109375" style="23" customWidth="1"/>
    <col min="4" max="4" width="23.88671875" style="28" customWidth="1"/>
    <col min="5" max="5" width="28.5546875" style="28" customWidth="1"/>
    <col min="6" max="6" width="9.109375" style="26" customWidth="1"/>
    <col min="7" max="7" width="47" style="26" customWidth="1"/>
    <col min="8" max="249" width="9.109375" style="26" customWidth="1"/>
  </cols>
  <sheetData>
    <row r="1" spans="1:5" ht="16.5" customHeight="1">
      <c r="A1" s="29" t="s">
        <v>359</v>
      </c>
    </row>
    <row r="2" spans="1:5" s="23" customFormat="1" ht="16.5" customHeight="1">
      <c r="B2" s="30"/>
      <c r="D2" s="28"/>
      <c r="E2" s="28"/>
    </row>
    <row r="3" spans="1:5" s="24" customFormat="1" ht="37.5" customHeight="1">
      <c r="A3" s="31" t="s">
        <v>129</v>
      </c>
      <c r="B3" s="32" t="s">
        <v>348</v>
      </c>
      <c r="C3" s="33"/>
      <c r="D3" s="34"/>
      <c r="E3" s="34"/>
    </row>
    <row r="4" spans="1:5" s="25" customFormat="1" ht="118.8">
      <c r="A4" s="35" t="s">
        <v>360</v>
      </c>
      <c r="B4" s="36" t="s">
        <v>370</v>
      </c>
      <c r="C4" s="37"/>
      <c r="D4" s="38"/>
      <c r="E4" s="38"/>
    </row>
    <row r="5" spans="1:5" ht="114.75" customHeight="1">
      <c r="A5" s="35" t="s">
        <v>362</v>
      </c>
      <c r="B5" s="36" t="s">
        <v>371</v>
      </c>
    </row>
    <row r="6" spans="1:5" ht="114.75" customHeight="1">
      <c r="A6" s="35" t="s">
        <v>364</v>
      </c>
      <c r="B6" s="36" t="s">
        <v>372</v>
      </c>
    </row>
    <row r="7" spans="1:5" ht="114.75" customHeight="1">
      <c r="A7" s="35" t="s">
        <v>366</v>
      </c>
      <c r="B7" s="36" t="s">
        <v>373</v>
      </c>
    </row>
    <row r="8" spans="1:5" ht="114.75" customHeight="1">
      <c r="A8" s="35" t="s">
        <v>368</v>
      </c>
      <c r="B8" s="36" t="s">
        <v>374</v>
      </c>
    </row>
    <row r="9" spans="1:5" ht="16.5" customHeight="1">
      <c r="A9" s="39"/>
    </row>
    <row r="10" spans="1:5" ht="16.5" customHeight="1">
      <c r="A10" s="39"/>
    </row>
    <row r="11" spans="1:5" ht="16.5" customHeight="1">
      <c r="A11" s="39"/>
    </row>
    <row r="12" spans="1:5" ht="16.5" customHeight="1">
      <c r="A12" s="39"/>
    </row>
    <row r="13" spans="1:5" ht="16.5" customHeight="1">
      <c r="A13" s="39"/>
    </row>
    <row r="14" spans="1:5" ht="16.5" customHeight="1">
      <c r="A14" s="39"/>
    </row>
    <row r="15" spans="1:5" ht="16.5" customHeight="1">
      <c r="A15" s="39"/>
    </row>
    <row r="16" spans="1:5" ht="16.5" customHeight="1">
      <c r="A16" s="39"/>
    </row>
    <row r="17" spans="1:1" ht="16.5" customHeight="1">
      <c r="A17" s="39"/>
    </row>
    <row r="18" spans="1:1" ht="16.5" customHeight="1">
      <c r="A18" s="39"/>
    </row>
    <row r="19" spans="1:1" ht="16.5" customHeight="1">
      <c r="A19" s="39"/>
    </row>
    <row r="20" spans="1:1" ht="16.5" customHeight="1">
      <c r="A20" s="39"/>
    </row>
    <row r="21" spans="1:1" ht="16.5" customHeight="1">
      <c r="A21" s="39"/>
    </row>
    <row r="22" spans="1:1" ht="16.5" customHeight="1">
      <c r="A22" s="39"/>
    </row>
    <row r="23" spans="1:1" ht="16.5" customHeight="1">
      <c r="A23" s="39"/>
    </row>
    <row r="24" spans="1:1" ht="16.5" customHeight="1">
      <c r="A24" s="39"/>
    </row>
    <row r="25" spans="1:1" ht="16.5" customHeight="1">
      <c r="A25" s="39"/>
    </row>
    <row r="26" spans="1:1" ht="16.5" customHeight="1">
      <c r="A26" s="39"/>
    </row>
    <row r="27" spans="1:1" ht="16.5" customHeight="1">
      <c r="A27" s="39"/>
    </row>
    <row r="28" spans="1:1" ht="16.5" customHeight="1">
      <c r="A28" s="39"/>
    </row>
    <row r="29" spans="1:1" ht="16.5" customHeight="1">
      <c r="A29" s="39"/>
    </row>
    <row r="30" spans="1:1" ht="16.5" customHeight="1">
      <c r="A30" s="39"/>
    </row>
    <row r="31" spans="1:1" ht="16.5" customHeight="1">
      <c r="A31" s="39"/>
    </row>
    <row r="32" spans="1:1" ht="16.5" customHeight="1">
      <c r="A32" s="39"/>
    </row>
    <row r="33" spans="1:1" ht="16.5" customHeight="1">
      <c r="A33" s="39"/>
    </row>
    <row r="34" spans="1:1" ht="16.5" customHeight="1">
      <c r="A34" s="39"/>
    </row>
    <row r="35" spans="1:1" ht="16.5" customHeight="1">
      <c r="A35" s="39"/>
    </row>
    <row r="36" spans="1:1" ht="16.5" customHeight="1">
      <c r="A36" s="39"/>
    </row>
    <row r="37" spans="1:1" ht="16.5" customHeight="1">
      <c r="A37" s="39"/>
    </row>
    <row r="38" spans="1:1" ht="16.5" customHeight="1">
      <c r="A38" s="39"/>
    </row>
    <row r="39" spans="1:1" ht="16.5" customHeight="1">
      <c r="A39" s="39"/>
    </row>
    <row r="40" spans="1:1" ht="16.5" customHeight="1">
      <c r="A40" s="39"/>
    </row>
    <row r="41" spans="1:1" ht="16.5" customHeight="1">
      <c r="A41" s="39"/>
    </row>
    <row r="42" spans="1:1" ht="16.5" customHeight="1">
      <c r="A42" s="39"/>
    </row>
    <row r="43" spans="1:1" ht="16.5" customHeight="1">
      <c r="A43" s="39"/>
    </row>
    <row r="44" spans="1:1" ht="16.5" customHeight="1">
      <c r="A44" s="39"/>
    </row>
    <row r="45" spans="1:1" ht="16.5" customHeight="1">
      <c r="A45" s="39"/>
    </row>
    <row r="46" spans="1:1" ht="16.5" customHeight="1">
      <c r="A46" s="39"/>
    </row>
    <row r="47" spans="1:1" ht="16.5" customHeight="1">
      <c r="A47" s="39"/>
    </row>
    <row r="48" spans="1:1" ht="16.5" customHeight="1">
      <c r="A48" s="39"/>
    </row>
  </sheetData>
  <pageMargins left="0.98425196850393704" right="0.59055118110236227" top="0.59055118110236227" bottom="0.39370078740157483" header="0.51181102362204722" footer="0.51181102362204722"/>
  <pageSetup paperSize="9" scale="83"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7E2C9-B951-4255-B81C-272532BFFC06}">
  <sheetPr>
    <tabColor indexed="22"/>
  </sheetPr>
  <dimension ref="A1:IO48"/>
  <sheetViews>
    <sheetView showGridLines="0" view="pageBreakPreview" zoomScaleNormal="100" zoomScaleSheetLayoutView="100" workbookViewId="0">
      <selection activeCell="B4" sqref="B4"/>
    </sheetView>
  </sheetViews>
  <sheetFormatPr defaultRowHeight="16.5" customHeight="1"/>
  <cols>
    <col min="1" max="1" width="24" style="26" customWidth="1"/>
    <col min="2" max="2" width="96.6640625" style="27" customWidth="1"/>
    <col min="3" max="3" width="4.109375" style="23" customWidth="1"/>
    <col min="4" max="4" width="23.88671875" style="28" customWidth="1"/>
    <col min="5" max="5" width="28.5546875" style="28" customWidth="1"/>
    <col min="6" max="6" width="9.109375" style="26" customWidth="1"/>
    <col min="7" max="7" width="47" style="26" customWidth="1"/>
    <col min="8" max="249" width="9.109375" style="26" customWidth="1"/>
  </cols>
  <sheetData>
    <row r="1" spans="1:5" ht="16.5" customHeight="1">
      <c r="A1" s="29" t="s">
        <v>375</v>
      </c>
    </row>
    <row r="2" spans="1:5" s="23" customFormat="1" ht="16.5" customHeight="1">
      <c r="B2" s="30"/>
      <c r="D2" s="28"/>
      <c r="E2" s="28"/>
    </row>
    <row r="3" spans="1:5" s="24" customFormat="1" ht="37.5" customHeight="1">
      <c r="A3" s="31" t="s">
        <v>129</v>
      </c>
      <c r="B3" s="32" t="s">
        <v>348</v>
      </c>
      <c r="C3" s="33"/>
      <c r="D3" s="34"/>
      <c r="E3" s="34"/>
    </row>
    <row r="4" spans="1:5" s="25" customFormat="1" ht="55.95" customHeight="1">
      <c r="A4" s="35" t="s">
        <v>376</v>
      </c>
      <c r="B4" s="36" t="s">
        <v>377</v>
      </c>
      <c r="C4" s="37"/>
      <c r="D4" s="38"/>
      <c r="E4" s="38"/>
    </row>
    <row r="5" spans="1:5" ht="52.95" customHeight="1">
      <c r="A5" s="35" t="s">
        <v>378</v>
      </c>
      <c r="B5" s="36" t="s">
        <v>379</v>
      </c>
    </row>
    <row r="6" spans="1:5" ht="64.95" customHeight="1">
      <c r="A6" s="35" t="s">
        <v>380</v>
      </c>
      <c r="B6" s="36" t="s">
        <v>381</v>
      </c>
    </row>
    <row r="7" spans="1:5" ht="67.95" customHeight="1">
      <c r="A7" s="35" t="s">
        <v>382</v>
      </c>
      <c r="B7" s="36" t="s">
        <v>383</v>
      </c>
    </row>
    <row r="8" spans="1:5" ht="72" customHeight="1">
      <c r="A8" s="35" t="s">
        <v>384</v>
      </c>
      <c r="B8" s="36" t="s">
        <v>385</v>
      </c>
    </row>
    <row r="9" spans="1:5" ht="16.5" customHeight="1">
      <c r="A9" s="39"/>
    </row>
    <row r="10" spans="1:5" ht="16.5" customHeight="1">
      <c r="A10" s="39"/>
    </row>
    <row r="11" spans="1:5" ht="16.5" customHeight="1">
      <c r="A11" s="39"/>
    </row>
    <row r="12" spans="1:5" ht="16.5" customHeight="1">
      <c r="A12" s="39"/>
    </row>
    <row r="13" spans="1:5" ht="16.5" customHeight="1">
      <c r="A13" s="39"/>
    </row>
    <row r="14" spans="1:5" ht="16.5" customHeight="1">
      <c r="A14" s="39"/>
    </row>
    <row r="15" spans="1:5" ht="16.5" customHeight="1">
      <c r="A15" s="39"/>
    </row>
    <row r="16" spans="1:5" ht="16.5" customHeight="1">
      <c r="A16" s="39"/>
    </row>
    <row r="17" spans="1:1" ht="16.5" customHeight="1">
      <c r="A17" s="39"/>
    </row>
    <row r="18" spans="1:1" ht="16.5" customHeight="1">
      <c r="A18" s="39"/>
    </row>
    <row r="19" spans="1:1" ht="16.5" customHeight="1">
      <c r="A19" s="39"/>
    </row>
    <row r="20" spans="1:1" ht="16.5" customHeight="1">
      <c r="A20" s="39"/>
    </row>
    <row r="21" spans="1:1" ht="16.5" customHeight="1">
      <c r="A21" s="39"/>
    </row>
    <row r="22" spans="1:1" ht="16.5" customHeight="1">
      <c r="A22" s="39"/>
    </row>
    <row r="23" spans="1:1" ht="16.5" customHeight="1">
      <c r="A23" s="39"/>
    </row>
    <row r="24" spans="1:1" ht="16.5" customHeight="1">
      <c r="A24" s="39"/>
    </row>
    <row r="25" spans="1:1" ht="16.5" customHeight="1">
      <c r="A25" s="39"/>
    </row>
    <row r="26" spans="1:1" ht="16.5" customHeight="1">
      <c r="A26" s="39"/>
    </row>
    <row r="27" spans="1:1" ht="16.5" customHeight="1">
      <c r="A27" s="39"/>
    </row>
    <row r="28" spans="1:1" ht="16.5" customHeight="1">
      <c r="A28" s="39"/>
    </row>
    <row r="29" spans="1:1" ht="16.5" customHeight="1">
      <c r="A29" s="39"/>
    </row>
    <row r="30" spans="1:1" ht="16.5" customHeight="1">
      <c r="A30" s="39"/>
    </row>
    <row r="31" spans="1:1" ht="16.5" customHeight="1">
      <c r="A31" s="39"/>
    </row>
    <row r="32" spans="1:1" ht="16.5" customHeight="1">
      <c r="A32" s="39"/>
    </row>
    <row r="33" spans="1:1" ht="16.5" customHeight="1">
      <c r="A33" s="39"/>
    </row>
    <row r="34" spans="1:1" ht="16.5" customHeight="1">
      <c r="A34" s="39"/>
    </row>
    <row r="35" spans="1:1" ht="16.5" customHeight="1">
      <c r="A35" s="39"/>
    </row>
    <row r="36" spans="1:1" ht="16.5" customHeight="1">
      <c r="A36" s="39"/>
    </row>
    <row r="37" spans="1:1" ht="16.5" customHeight="1">
      <c r="A37" s="39"/>
    </row>
    <row r="38" spans="1:1" ht="16.5" customHeight="1">
      <c r="A38" s="39"/>
    </row>
    <row r="39" spans="1:1" ht="16.5" customHeight="1">
      <c r="A39" s="39"/>
    </row>
    <row r="40" spans="1:1" ht="16.5" customHeight="1">
      <c r="A40" s="39"/>
    </row>
    <row r="41" spans="1:1" ht="16.5" customHeight="1">
      <c r="A41" s="39"/>
    </row>
    <row r="42" spans="1:1" ht="16.5" customHeight="1">
      <c r="A42" s="39"/>
    </row>
    <row r="43" spans="1:1" ht="16.5" customHeight="1">
      <c r="A43" s="39"/>
    </row>
    <row r="44" spans="1:1" ht="16.5" customHeight="1">
      <c r="A44" s="39"/>
    </row>
    <row r="45" spans="1:1" ht="16.5" customHeight="1">
      <c r="A45" s="39"/>
    </row>
    <row r="46" spans="1:1" ht="16.5" customHeight="1">
      <c r="A46" s="39"/>
    </row>
    <row r="47" spans="1:1" ht="16.5" customHeight="1">
      <c r="A47" s="39"/>
    </row>
    <row r="48" spans="1:1" ht="16.5" customHeight="1">
      <c r="A48" s="39"/>
    </row>
  </sheetData>
  <pageMargins left="0.98425196850393704" right="0.59055118110236227" top="0.59055118110236227" bottom="0.39370078740157483" header="0.51181102362204722" footer="0.51181102362204722"/>
  <pageSetup paperSize="9" scale="83"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DB58B-22F6-4C31-BF15-4AA903D70F8D}">
  <sheetPr>
    <tabColor indexed="12"/>
  </sheetPr>
  <dimension ref="A3:IT10"/>
  <sheetViews>
    <sheetView showGridLines="0" view="pageBreakPreview" topLeftCell="B1" zoomScaleNormal="100" zoomScaleSheetLayoutView="100" workbookViewId="0">
      <selection activeCell="F10" sqref="F10"/>
    </sheetView>
  </sheetViews>
  <sheetFormatPr defaultRowHeight="13.2"/>
  <cols>
    <col min="1" max="1" width="9.109375" style="1" customWidth="1"/>
    <col min="2" max="2" width="4.88671875" style="1" customWidth="1"/>
    <col min="3" max="3" width="3.88671875" style="1" customWidth="1"/>
    <col min="4" max="4" width="33.5546875" style="1" customWidth="1"/>
    <col min="5" max="5" width="15.5546875" style="1" customWidth="1"/>
    <col min="6" max="6" width="21.88671875" style="1" customWidth="1"/>
    <col min="7" max="7" width="47" style="1" customWidth="1"/>
    <col min="8" max="8" width="22.5546875" style="1" customWidth="1"/>
    <col min="9" max="9" width="14.6640625" style="1" customWidth="1"/>
    <col min="10" max="254" width="9.109375" style="1" customWidth="1"/>
  </cols>
  <sheetData>
    <row r="3" spans="3:9" ht="17.399999999999999">
      <c r="C3" s="209" t="s">
        <v>508</v>
      </c>
      <c r="D3" s="209"/>
      <c r="E3" s="209"/>
      <c r="F3" s="209"/>
      <c r="G3" s="2"/>
      <c r="H3" s="3"/>
      <c r="I3" s="3"/>
    </row>
    <row r="4" spans="3:9">
      <c r="C4" s="210"/>
      <c r="D4" s="210"/>
      <c r="E4" s="211"/>
      <c r="F4" s="211"/>
      <c r="G4" s="2"/>
      <c r="H4" s="4"/>
      <c r="I4" s="4"/>
    </row>
    <row r="5" spans="3:9" ht="27" customHeight="1">
      <c r="C5" s="226" t="s">
        <v>207</v>
      </c>
      <c r="D5" s="227"/>
      <c r="E5" s="5" t="s">
        <v>208</v>
      </c>
      <c r="F5" s="5" t="s">
        <v>209</v>
      </c>
      <c r="G5" s="2"/>
      <c r="H5" s="214" t="s">
        <v>210</v>
      </c>
      <c r="I5" s="215"/>
    </row>
    <row r="6" spans="3:9" ht="19.95" customHeight="1">
      <c r="C6" s="6">
        <v>1</v>
      </c>
      <c r="D6" s="228" t="s">
        <v>386</v>
      </c>
      <c r="E6" s="7">
        <f>'All Inheren'!E10</f>
        <v>1.9583333333333333</v>
      </c>
      <c r="F6" s="8" t="str">
        <f>'All Inheren'!F10</f>
        <v>Low to Moderate</v>
      </c>
      <c r="G6" s="2"/>
      <c r="H6" s="133" t="s">
        <v>212</v>
      </c>
      <c r="I6" s="20" t="s">
        <v>213</v>
      </c>
    </row>
    <row r="7" spans="3:9">
      <c r="C7" s="9"/>
      <c r="D7" s="229"/>
      <c r="E7" s="10"/>
      <c r="F7" s="11"/>
      <c r="G7" s="2"/>
      <c r="H7" s="135" t="s">
        <v>215</v>
      </c>
      <c r="I7" s="21" t="s">
        <v>216</v>
      </c>
    </row>
    <row r="8" spans="3:9" ht="19.95" customHeight="1">
      <c r="C8" s="12">
        <v>2</v>
      </c>
      <c r="D8" s="229" t="s">
        <v>387</v>
      </c>
      <c r="E8" s="13">
        <f>Maturitas!E10</f>
        <v>1.9672619047619047</v>
      </c>
      <c r="F8" s="14" t="str">
        <f>Maturitas!F10</f>
        <v>Tingkat 2</v>
      </c>
      <c r="G8" s="2"/>
      <c r="H8" s="135" t="s">
        <v>218</v>
      </c>
      <c r="I8" s="21" t="s">
        <v>219</v>
      </c>
    </row>
    <row r="9" spans="3:9">
      <c r="C9" s="15"/>
      <c r="D9" s="230"/>
      <c r="E9" s="10"/>
      <c r="F9" s="11"/>
      <c r="G9" s="2"/>
      <c r="H9" s="135" t="s">
        <v>221</v>
      </c>
      <c r="I9" s="21" t="s">
        <v>222</v>
      </c>
    </row>
    <row r="10" spans="3:9" ht="25.95" customHeight="1">
      <c r="C10" s="16"/>
      <c r="D10" s="17"/>
      <c r="E10" s="18">
        <f>(E6+E8)/2</f>
        <v>1.9627976190476191</v>
      </c>
      <c r="F10" s="19" t="str">
        <f>IF(E10&lt;=1,("Low"),IF(E10&lt;=2,("Low to Moderate"),IF(E10&lt;=3,("Moderate"),IF(E10&lt;=4,("Moderate to High"),"High"))))</f>
        <v>Low to Moderate</v>
      </c>
      <c r="G10" s="2"/>
      <c r="H10" s="136" t="s">
        <v>223</v>
      </c>
      <c r="I10" s="22" t="s">
        <v>224</v>
      </c>
    </row>
  </sheetData>
  <mergeCells count="6">
    <mergeCell ref="C3:F3"/>
    <mergeCell ref="C4:F4"/>
    <mergeCell ref="C5:D5"/>
    <mergeCell ref="H5:I5"/>
    <mergeCell ref="D6:D7"/>
    <mergeCell ref="D8:D9"/>
  </mergeCells>
  <pageMargins left="0.98425196850393704" right="0.59055118110236227" top="0.59055118110236227" bottom="0.39370078740157483" header="0.51181102362204722" footer="0.51181102362204722"/>
  <pageSetup paperSize="9" scale="83" orientation="landscape" r:id="rId1"/>
  <headerFooter alignWithMargins="0"/>
</worksheet>
</file>

<file path=docProps/app.xml><?xml version="1.0" encoding="utf-8"?>
<Properties xmlns="http://schemas.openxmlformats.org/officeDocument/2006/extended-properties" xmlns:vt="http://schemas.openxmlformats.org/officeDocument/2006/docPropsVTypes">
  <Templat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15</vt:i4>
      </vt:variant>
      <vt:variant>
        <vt:lpstr>Named Ranges</vt:lpstr>
      </vt:variant>
      <vt:variant>
        <vt:i4>19</vt:i4>
      </vt:variant>
    </vt:vector>
  </HeadingPairs>
  <TitlesOfParts>
    <vt:vector size="34" baseType="lpstr">
      <vt:lpstr>Perhitungan</vt:lpstr>
      <vt:lpstr>HASIL PENILAIAN</vt:lpstr>
      <vt:lpstr>Teknologi</vt:lpstr>
      <vt:lpstr>Produk Bank</vt:lpstr>
      <vt:lpstr>Karakter Organisasi</vt:lpstr>
      <vt:lpstr>Rekam Jejak</vt:lpstr>
      <vt:lpstr>Matriks Inheren</vt:lpstr>
      <vt:lpstr>All Inheren</vt:lpstr>
      <vt:lpstr>KPMR</vt:lpstr>
      <vt:lpstr>Kualitas Ketahanan</vt:lpstr>
      <vt:lpstr>Maturitas</vt:lpstr>
      <vt:lpstr>Matriks KPMR</vt:lpstr>
      <vt:lpstr>Matriks Ketahanan</vt:lpstr>
      <vt:lpstr>Matriks Maturitas</vt:lpstr>
      <vt:lpstr>RATING SIBER</vt:lpstr>
      <vt:lpstr>'All Inheren'!Print_Area</vt:lpstr>
      <vt:lpstr>'HASIL PENILAIAN'!Print_Area</vt:lpstr>
      <vt:lpstr>'Karakter Organisasi'!Print_Area</vt:lpstr>
      <vt:lpstr>KPMR!Print_Area</vt:lpstr>
      <vt:lpstr>'Kualitas Ketahanan'!Print_Area</vt:lpstr>
      <vt:lpstr>'Matriks Inheren'!Print_Area</vt:lpstr>
      <vt:lpstr>'Matriks Ketahanan'!Print_Area</vt:lpstr>
      <vt:lpstr>'Matriks KPMR'!Print_Area</vt:lpstr>
      <vt:lpstr>'Matriks Maturitas'!Print_Area</vt:lpstr>
      <vt:lpstr>Maturitas!Print_Area</vt:lpstr>
      <vt:lpstr>'Produk Bank'!Print_Area</vt:lpstr>
      <vt:lpstr>'RATING SIBER'!Print_Area</vt:lpstr>
      <vt:lpstr>'Rekam Jejak'!Print_Area</vt:lpstr>
      <vt:lpstr>Teknologi!Print_Area</vt:lpstr>
      <vt:lpstr>KPMR!Print_Titles</vt:lpstr>
      <vt:lpstr>'Kualitas Ketahanan'!Print_Titles</vt:lpstr>
      <vt:lpstr>'Matriks KPMR'!Print_Titles</vt:lpstr>
      <vt:lpstr>'Produk Bank'!Print_Titles</vt:lpstr>
      <vt:lpstr>Teknologi!Print_Titles</vt:lpstr>
    </vt:vector>
  </TitlesOfParts>
  <Manager/>
  <Company/>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ADJA</dc:creator>
  <cp:keywords/>
  <dc:description/>
  <cp:lastModifiedBy>oktovaaaaa</cp:lastModifiedBy>
  <cp:revision>1</cp:revision>
  <cp:lastPrinted>2026-01-19T09:20:02Z</cp:lastPrinted>
  <dcterms:created xsi:type="dcterms:W3CDTF">1996-10-15T06:33:28Z</dcterms:created>
  <dcterms:modified xsi:type="dcterms:W3CDTF">2026-07-22T04:25:56Z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1033-9.1.0.4674</vt:lpwstr>
  </property>
  <property fmtid="{D5CDD505-2E9C-101B-9397-08002B2CF9AE}" pid="3" name="ICV">
    <vt:lpwstr/>
  </property>
</Properties>
</file>